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da14bc77c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dos os Leads" sheetId="1" r:id="Rd6fc7be9066c4c64"/>
    <x:sheet xmlns:r="http://schemas.openxmlformats.org/officeDocument/2006/relationships" name="Leads Prioritários" sheetId="2" r:id="R4ea94f18ae464132"/>
    <x:sheet xmlns:r="http://schemas.openxmlformats.org/officeDocument/2006/relationships" name="Resumo por Nicho" sheetId="3" r:id="Re325c5cf3b024fe2"/>
    <x:sheet xmlns:r="http://schemas.openxmlformats.org/officeDocument/2006/relationships" name="Prospecção Comercial" sheetId="4" r:id="R959bda2e8775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#,##0"/>
    <x:numFmt numFmtId="202" formatCode="0"/>
    <x:numFmt numFmtId="203" formatCode="dd/mm/yyyy"/>
    <x:numFmt numFmtId="204" formatCode="0.00000"/>
    <x:numFmt numFmtId="205" formatCode="&quot;R$&quot; #,##0.00"/>
  </x:numFmts>
  <x:fonts count="7">
    <x:font>
      <x:sz val="11"/>
      <x:name val="Carlito"/>
    </x:font>
    <x:font>
      <x:b/>
      <x:sz val="15"/>
      <x:color rgb="FF123B4A"/>
      <x:name val="Arial"/>
    </x:font>
    <x:font>
      <x:i/>
      <x:sz val="10"/>
      <x:color rgb="FF667782"/>
      <x:name val="Arial"/>
    </x:font>
    <x:font>
      <x:b/>
      <x:sz val="10"/>
      <x:color rgb="FF17252D"/>
      <x:name val="Arial"/>
    </x:font>
    <x:font>
      <x:sz val="10"/>
      <x:color rgb="FF17252D"/>
      <x:name val="Arial"/>
    </x:font>
    <x:font>
      <x:i/>
      <x:sz val="10"/>
      <x:color rgb="FF17252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FFF8DD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8EEF0"/>
      </x:bottom>
      <x:diagonal/>
    </x:border>
    <x:border>
      <x:left/>
      <x:right/>
      <x:top style="thin">
        <x:color rgb="FFE8EEF0"/>
      </x:top>
      <x:bottom style="thin">
        <x:color rgb="FFE8EEF0"/>
      </x:bottom>
      <x:diagonal/>
    </x:border>
    <x:border>
      <x:left/>
      <x:right/>
      <x:top style="thin">
        <x:color rgb="FFE8EEF0"/>
      </x:top>
      <x:bottom/>
      <x:diagonal/>
    </x:border>
    <x:border>
      <x:left/>
      <x:right style="thin">
        <x:color rgb="FFFFFFFF"/>
      </x:right>
      <x:top/>
      <x:bottom style="thin">
        <x:color rgb="FFE8EEF0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E8EEF0"/>
      </x:bottom>
      <x:diagonal/>
    </x:border>
    <x:border>
      <x:left style="thin">
        <x:color rgb="FFFFFFFF"/>
      </x:left>
      <x:right/>
      <x:top/>
      <x:bottom style="thin">
        <x:color rgb="FFE8EEF0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6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2" fontId="4" fillId="0" borderId="6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3" fontId="4" fillId="0" borderId="6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204" fontId="4" fillId="0" borderId="6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200" fontId="4" fillId="0" borderId="0" xfId="0" applyNumberFormat="1" applyFont="1" applyFill="1" applyBorder="1" applyAlignment="1">
      <x:alignment vertical="top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203" fontId="4" fillId="3" borderId="0" xfId="0" applyNumberFormat="1" applyFont="1" applyFill="1" applyBorder="1" applyAlignment="1">
      <x:alignment vertical="top"/>
    </x:xf>
    <x:xf numFmtId="205" fontId="4" fillId="3" borderId="0" xfId="0" applyNumberFormat="1" applyFont="1" applyFill="1" applyBorder="1" applyAlignment="1">
      <x:alignment vertical="top"/>
    </x:xf>
  </x:cellXfs>
  <x:cellStyles count="1">
    <x:cellStyle name="Normal" xfId="0"/>
  </x:cellStyles>
  <x:dxfs count="8">
    <x:dxf>
      <x:font>
        <x:b/>
        <x:color rgb="FF8C2F20"/>
      </x:font>
      <x:fill>
        <x:patternFill patternType="solid">
          <x:bgColor rgb="FFFDE2DD"/>
        </x:patternFill>
      </x:fill>
    </x:dxf>
    <x:dxf>
      <x:font>
        <x:b/>
        <x:color rgb="FF7B5700"/>
      </x:font>
      <x:fill>
        <x:patternFill patternType="solid">
          <x:bgColor rgb="FFFFF0C9"/>
        </x:patternFill>
      </x:fill>
    </x:dxf>
    <x:dxf>
      <x:font>
        <x:b/>
        <x:color rgb="FF2D5680"/>
      </x:font>
      <x:fill>
        <x:patternFill patternType="solid">
          <x:bgColor rgb="FFDFEAF7"/>
        </x:patternFill>
      </x:fill>
    </x:dxf>
    <x:dxf>
      <x:font>
        <x:b/>
        <x:color rgb="FF53646C"/>
      </x:font>
      <x:fill>
        <x:patternFill patternType="solid">
          <x:bgColor rgb="FFE8EDEF"/>
        </x:patternFill>
      </x:fill>
    </x:dxf>
    <x:dxf>
      <x:font>
        <x:b/>
        <x:color rgb="FF7B5700"/>
      </x:font>
      <x:fill>
        <x:patternFill patternType="solid">
          <x:bgColor rgb="FFFFF0C9"/>
        </x:patternFill>
      </x:fill>
    </x:dxf>
    <x:dxf>
      <x:font>
        <x:b/>
        <x:color rgb="FF075F5C"/>
      </x:font>
      <x:fill>
        <x:patternFill patternType="solid">
          <x:bgColor rgb="FFDFF3EF"/>
        </x:patternFill>
      </x:fill>
    </x:dxf>
    <x:dxf>
      <x:font>
        <x:b/>
        <x:color rgb="FF175C3A"/>
      </x:font>
      <x:fill>
        <x:patternFill patternType="solid">
          <x:bgColor rgb="FFCDEBDD"/>
        </x:patternFill>
      </x:fill>
    </x:dxf>
    <x:dxf>
      <x:font>
        <x:b/>
        <x:color rgb="FF8C2F20"/>
      </x:font>
      <x:fill>
        <x:patternFill patternType="solid">
          <x:bgColor rgb="FFFDE2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8d21670704106" /><Relationship Type="http://schemas.openxmlformats.org/officeDocument/2006/relationships/theme" Target="/xl/theme/theme1.xml" Id="R919c3f5987d442e7" /><Relationship Type="http://schemas.openxmlformats.org/officeDocument/2006/relationships/sharedStrings" Target="/xl/sharedStrings.xml" Id="R3b22154080ba4450" /><Relationship Type="http://schemas.openxmlformats.org/officeDocument/2006/relationships/worksheet" Target="/xl/worksheets/sheet1.xml" Id="Rd6fc7be9066c4c64" /><Relationship Type="http://schemas.openxmlformats.org/officeDocument/2006/relationships/worksheet" Target="/xl/worksheets/sheet2.xml" Id="R4ea94f18ae464132" /><Relationship Type="http://schemas.openxmlformats.org/officeDocument/2006/relationships/worksheet" Target="/xl/worksheets/sheet3.xml" Id="Re325c5cf3b024fe2" /><Relationship Type="http://schemas.openxmlformats.org/officeDocument/2006/relationships/worksheet" Target="/xl/worksheets/sheet4.xml" Id="R959bda2e87754344" /></Relationships>
</file>

<file path=xl/tables/table1.xml><?xml version="1.0" encoding="utf-8"?>
<x:table xmlns:x="http://schemas.openxmlformats.org/spreadsheetml/2006/main" id="1" name="TodosLeadsTable" displayName="TodosLeadsTable" ref="A4:AM104" headerRowCount="1" totalsRowCount="0" totalsRowShown="0">
  <x:tableColumns count="39">
    <x:tableColumn id="1" name="ID"/>
    <x:tableColumn id="2" name="Empresa"/>
    <x:tableColumn id="3" name="Nicho"/>
    <x:tableColumn id="4" name="Endereço"/>
    <x:tableColumn id="5" name="Bairro"/>
    <x:tableColumn id="6" name="Cidade"/>
    <x:tableColumn id="7" name="UF"/>
    <x:tableColumn id="8" name="Telefone"/>
    <x:tableColumn id="9" name="WhatsApp confirmado"/>
    <x:tableColumn id="10" name="WhatsApp"/>
    <x:tableColumn id="11" name="Google Maps"/>
    <x:tableColumn id="12" name="Nota Google"/>
    <x:tableColumn id="13" name="Avaliações"/>
    <x:tableColumn id="14" name="Site"/>
    <x:tableColumn id="15" name="Situação do site"/>
    <x:tableColumn id="16" name="Verificação técnica do site"/>
    <x:tableColumn id="17" name="HTTP"/>
    <x:tableColumn id="18" name="Presença digital"/>
    <x:tableColumn id="19" name="Instagram"/>
    <x:tableColumn id="20" name="Facebook"/>
    <x:tableColumn id="21" name="E-commerce"/>
    <x:tableColumn id="22" name="Catálogo digital"/>
    <x:tableColumn id="23" name="Agendamento online"/>
    <x:tableColumn id="24" name="Principais serviços"/>
    <x:tableColumn id="25" name="Oportunidades identificadas"/>
    <x:tableColumn id="26" name="Soluções recomendadas"/>
    <x:tableColumn id="27" name="Abordagem sugerida"/>
    <x:tableColumn id="28" name="Fatos observados"/>
    <x:tableColumn id="29" name="Score"/>
    <x:tableColumn id="30" name="Prioridade"/>
    <x:tableColumn id="31" name="Justificativa do score"/>
    <x:tableColumn id="32" name="Fonte 1"/>
    <x:tableColumn id="33" name="Fonte 2"/>
    <x:tableColumn id="34" name="Fonte 3"/>
    <x:tableColumn id="35" name="Data de verificação"/>
    <x:tableColumn id="36" name="Status comercial"/>
    <x:tableColumn id="37" name="Observações comerciais"/>
    <x:tableColumn id="38" name="Latitude"/>
    <x:tableColumn id="39" name="Longitu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LeadsTable" displayName="PriorityLeadsTable" ref="A4:O9" headerRowCount="1" totalsRowCount="0" totalsRowShown="0">
  <x:tableColumns count="15">
    <x:tableColumn id="1" name="Empresa"/>
    <x:tableColumn id="2" name="Nicho"/>
    <x:tableColumn id="3" name="Bairro"/>
    <x:tableColumn id="4" name="Telefone"/>
    <x:tableColumn id="5" name="WhatsApp"/>
    <x:tableColumn id="6" name="Site"/>
    <x:tableColumn id="7" name="Instagram"/>
    <x:tableColumn id="8" name="Score"/>
    <x:tableColumn id="9" name="Prioridade"/>
    <x:tableColumn id="10" name="Oportunidade principal"/>
    <x:tableColumn id="11" name="Soluções recomendadas"/>
    <x:tableColumn id="12" name="Abordagem sugerida"/>
    <x:tableColumn id="13" name="Google Maps"/>
    <x:tableColumn id="14" name="Data de verificação"/>
    <x:tableColumn id="15" name="Fonte princip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ercialPipelineTable" displayName="CommercialPipelineTable" ref="A4:J104" headerRowCount="1" totalsRowCount="0" totalsRowShown="0">
  <x:tableColumns count="10">
    <x:tableColumn id="1" name="Empresa"/>
    <x:tableColumn id="2" name="Nicho"/>
    <x:tableColumn id="3" name="Score"/>
    <x:tableColumn id="4" name="Prioridade"/>
    <x:tableColumn id="5" name="Responsável pela abordagem"/>
    <x:tableColumn id="6" name="Status"/>
    <x:tableColumn id="7" name="Data do contato"/>
    <x:tableColumn id="8" name="Próxima ação"/>
    <x:tableColumn id="9" name="Valor proposto"/>
    <x:tableColumn id="10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6c5de74ae545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47c71560d841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7a199bac80419b" /></Relationships>
</file>

<file path=xl/worksheets/sheet1.xml><?xml version="1.0" encoding="utf-8"?>
<x:worksheet xmlns:x="http://schemas.openxmlformats.org/spreadsheetml/2006/main">
  <x:sheetPr>
    <x:tabColor rgb="FF123B4A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42" hidden="0" customWidth="1"/>
    <x:col min="5" max="5" width="24" hidden="0" customWidth="1"/>
    <x:col min="6" max="6" width="14" hidden="0" customWidth="1"/>
    <x:col min="7" max="7" width="7" hidden="0" customWidth="1"/>
    <x:col min="8" max="8" width="17" hidden="0" customWidth="1"/>
    <x:col min="9" max="9" width="18" hidden="0" customWidth="1"/>
    <x:col min="10" max="10" width="17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18" hidden="0" customWidth="1"/>
    <x:col min="16" max="16" width="24" hidden="0" customWidth="1"/>
    <x:col min="17" max="17" width="10" hidden="0" customWidth="1"/>
    <x:col min="18" max="18" width="22" hidden="0" customWidth="1"/>
    <x:col min="19" max="19" width="14" hidden="0" customWidth="1"/>
    <x:col min="20" max="20" width="14" hidden="0" customWidth="1"/>
    <x:col min="21" max="21" width="16" hidden="0" customWidth="1"/>
    <x:col min="22" max="22" width="18" hidden="0" customWidth="1"/>
    <x:col min="23" max="23" width="20" hidden="0" customWidth="1"/>
    <x:col min="24" max="24" width="46" hidden="0" customWidth="1"/>
    <x:col min="25" max="25" width="54" hidden="0" customWidth="1"/>
    <x:col min="26" max="26" width="50" hidden="0" customWidth="1"/>
    <x:col min="27" max="27" width="52" hidden="0" customWidth="1"/>
    <x:col min="28" max="28" width="44" hidden="0" customWidth="1"/>
    <x:col min="29" max="29" width="10" hidden="0" customWidth="1"/>
    <x:col min="30" max="30" width="25" hidden="0" customWidth="1"/>
    <x:col min="31" max="31" width="56" hidden="0" customWidth="1"/>
    <x:col min="32" max="32" width="30" hidden="0" customWidth="1"/>
    <x:col min="33" max="33" width="30" hidden="0" customWidth="1"/>
    <x:col min="34" max="34" width="30" hidden="0" customWidth="1"/>
    <x:col min="35" max="35" width="16" hidden="0" customWidth="1"/>
    <x:col min="36" max="36" width="18" hidden="0" customWidth="1"/>
    <x:col min="37" max="37" width="30" hidden="0" customWidth="1"/>
    <x:col min="38" max="38" width="13" hidden="0" customWidth="1"/>
    <x:col min="39" max="39" width="13" hidden="0" customWidth="1"/>
  </x:cols>
  <x:sheetData>
    <x:row r="2">
      <x:c r="A2" s="6" t="str">
        <x:v>Prospecção inteligente de leads — Londrina/PR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</x:row>
    <x:row r="3">
      <x:c r="A3" s="8" t="str">
        <x:v>100 empresas públicas, 20 por nicho. Informações não confirmadas permanecem como não identificadas.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</x:row>
    <x:row r="4" ht="34" customHeight="1">
      <x:c r="A4" s="15" t="str">
        <x:v>ID</x:v>
      </x:c>
      <x:c r="B4" s="16" t="str">
        <x:v>Empresa</x:v>
      </x:c>
      <x:c r="C4" s="16" t="str">
        <x:v>Nicho</x:v>
      </x:c>
      <x:c r="D4" s="16" t="str">
        <x:v>Endereço</x:v>
      </x:c>
      <x:c r="E4" s="16" t="str">
        <x:v>Bairro</x:v>
      </x:c>
      <x:c r="F4" s="16" t="str">
        <x:v>Cidade</x:v>
      </x:c>
      <x:c r="G4" s="16" t="str">
        <x:v>UF</x:v>
      </x:c>
      <x:c r="H4" s="16" t="str">
        <x:v>Telefone</x:v>
      </x:c>
      <x:c r="I4" s="16" t="str">
        <x:v>WhatsApp confirmado</x:v>
      </x:c>
      <x:c r="J4" s="16" t="str">
        <x:v>WhatsApp</x:v>
      </x:c>
      <x:c r="K4" s="16" t="str">
        <x:v>Google Maps</x:v>
      </x:c>
      <x:c r="L4" s="16" t="str">
        <x:v>Nota Google</x:v>
      </x:c>
      <x:c r="M4" s="16" t="str">
        <x:v>Avaliações</x:v>
      </x:c>
      <x:c r="N4" s="16" t="str">
        <x:v>Site</x:v>
      </x:c>
      <x:c r="O4" s="16" t="str">
        <x:v>Situação do site</x:v>
      </x:c>
      <x:c r="P4" s="16" t="str">
        <x:v>Verificação técnica do site</x:v>
      </x:c>
      <x:c r="Q4" s="16" t="str">
        <x:v>HTTP</x:v>
      </x:c>
      <x:c r="R4" s="16" t="str">
        <x:v>Presença digital</x:v>
      </x:c>
      <x:c r="S4" s="16" t="str">
        <x:v>Instagram</x:v>
      </x:c>
      <x:c r="T4" s="16" t="str">
        <x:v>Facebook</x:v>
      </x:c>
      <x:c r="U4" s="16" t="str">
        <x:v>E-commerce</x:v>
      </x:c>
      <x:c r="V4" s="16" t="str">
        <x:v>Catálogo digital</x:v>
      </x:c>
      <x:c r="W4" s="16" t="str">
        <x:v>Agendamento online</x:v>
      </x:c>
      <x:c r="X4" s="16" t="str">
        <x:v>Principais serviços</x:v>
      </x:c>
      <x:c r="Y4" s="16" t="str">
        <x:v>Oportunidades identificadas</x:v>
      </x:c>
      <x:c r="Z4" s="16" t="str">
        <x:v>Soluções recomendadas</x:v>
      </x:c>
      <x:c r="AA4" s="16" t="str">
        <x:v>Abordagem sugerida</x:v>
      </x:c>
      <x:c r="AB4" s="16" t="str">
        <x:v>Fatos observados</x:v>
      </x:c>
      <x:c r="AC4" s="16" t="str">
        <x:v>Score</x:v>
      </x:c>
      <x:c r="AD4" s="16" t="str">
        <x:v>Prioridade</x:v>
      </x:c>
      <x:c r="AE4" s="16" t="str">
        <x:v>Justificativa do score</x:v>
      </x:c>
      <x:c r="AF4" s="16" t="str">
        <x:v>Fonte 1</x:v>
      </x:c>
      <x:c r="AG4" s="16" t="str">
        <x:v>Fonte 2</x:v>
      </x:c>
      <x:c r="AH4" s="16" t="str">
        <x:v>Fonte 3</x:v>
      </x:c>
      <x:c r="AI4" s="16" t="str">
        <x:v>Data de verificação</x:v>
      </x:c>
      <x:c r="AJ4" s="16" t="str">
        <x:v>Status comercial</x:v>
      </x:c>
      <x:c r="AK4" s="16" t="str">
        <x:v>Observações comerciais</x:v>
      </x:c>
      <x:c r="AL4" s="16" t="str">
        <x:v>Latitude</x:v>
      </x:c>
      <x:c r="AM4" s="17" t="str">
        <x:v>Longitude</x:v>
      </x:c>
    </x:row>
    <x:row r="5">
      <x:c r="A5" s="19" t="str">
        <x:v>f5315d41dda8</x:v>
      </x:c>
      <x:c r="B5" s="19" t="str">
        <x:v>MARMORARIA ELEGANCE</x:v>
      </x:c>
      <x:c r="C5" s="19" t="str">
        <x:v>Marmorarias</x:v>
      </x:c>
      <x:c r="D5" s="22" t="str">
        <x:v>R. Laurentina Maria de Freitas, 230/240 - Jardim Planalto, Londrina - PR, 86084-180</x:v>
      </x:c>
      <x:c r="E5" s="22" t="str">
        <x:v>Jardim Planalto</x:v>
      </x:c>
      <x:c r="F5" s="19" t="str">
        <x:v>Londrina</x:v>
      </x:c>
      <x:c r="G5" s="19" t="str">
        <x:v>PR</x:v>
      </x:c>
      <x:c r="H5" s="19" t="str">
        <x:v>(43) 99688-7266</x:v>
      </x:c>
      <x:c r="I5" s="19" t="str">
        <x:v>NÃO IDENTIFICADO</x:v>
      </x:c>
      <x:c r="J5" s="19" t="str"/>
      <x:c r="K5" s="19" t="e">
        <x:f>HYPERLINK("https://www.google.com/maps/search/?api=1&amp;query=MARMORARIA+ELEGANCE+R.+Laurentina+Maria+de+Freitas%2C+230%2F240+-+Jardim+Planalto%2C+Londrina+-+PR%2C+86084-180","Abrir mapa")</x:f>
        <x:v>HYPERLINK is not implemented. linkLocation=https://www.google.com/maps/search/?api=1&amp;query=MARMORARIA+ELEGANCE+R.+Laurentina+Maria+de+Freitas%2C+230%2F240+-+Jardim+Planalto%2C+Londrina+-+PR%2C+86084-180, friendlyName=Abrir mapa</x:v>
      </x:c>
      <x:c r="L5" s="25" t="n">
        <x:v>4.7</x:v>
      </x:c>
      <x:c r="M5" s="28" t="n">
        <x:v>87</x:v>
      </x:c>
      <x:c r="N5" s="19"/>
      <x:c r="O5" s="19" t="str">
        <x:v>NÃO</x:v>
      </x:c>
      <x:c r="P5" s="19" t="str">
        <x:v>NÃO APLICÁVEL</x:v>
      </x:c>
      <x:c r="Q5" s="31"/>
      <x:c r="R5" s="19" t="str">
        <x:v>SEM SITE CONFIRMADO</x:v>
      </x:c>
      <x:c r="S5" s="19"/>
      <x:c r="T5" s="19"/>
      <x:c r="U5" s="19" t="str">
        <x:v>NÃO IDENTIFICADO</x:v>
      </x:c>
      <x:c r="V5" s="19" t="str">
        <x:v>NÃO IDENTIFICADO</x:v>
      </x:c>
      <x:c r="W5" s="19" t="str">
        <x:v>NÃO IDENTIFICADO</x:v>
      </x:c>
      <x:c r="X5" s="22" t="str">
        <x:v>Mármores, granitos, bancadas, pias e revestimentos (categoria pública; confirmar escopo diretamente).</x:v>
      </x:c>
      <x:c r="Y5" s="22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Z5" s="22" t="str">
        <x:v>Site institucional com portfólio e integração ao WhatsApp. Catálogo visual com pedido de orçamento. Formulário qualificado e integração com WhatsApp/CRM.</x:v>
      </x:c>
      <x:c r="AA5" s="22" t="str">
        <x:v>Apresentar um protótipo curto para marmorarias, destacar portfólio e orçamento no celular, e pedir confirmação do processo atual antes de afirmar qualquer problema interno.</x:v>
      </x:c>
      <x:c r="AB5" s="22" t="str">
        <x:v>Nome, endereço, telefone, localização e nota/avaliações publicadas como dados do Google na fonte setorial.</x:v>
      </x:c>
      <x:c r="AC5" s="34" t="n">
        <x:v>68</x:v>
      </x:c>
      <x:c r="AD5" s="22" t="str">
        <x:v>Prioridade B — Alta</x:v>
      </x:c>
      <x:c r="AE5" s="22" t="str">
        <x:v>25 site próprio ausente (confirmado); 0 ausência de catálogo não confirmada; 8 captação pública concentrada em contato direto; 15 atividade/reputação pública forte; 10 protótipo reaproveitável no nicho; 10 telefone e endereço públicos verificados na fonte</x:v>
      </x:c>
      <x:c r="AF5" s="22" t="e">
        <x:f>HYPERLINK("https://marmorebrasil.com.br/londrina/","Fonte 1")</x:f>
        <x:v>HYPERLINK is not implemented. linkLocation=https://marmorebrasil.com.br/londrina/, friendlyName=Fonte 1</x:v>
      </x:c>
      <x:c r="AG5" s="22" t="e">
        <x:f>HYPERLINK("https://marmorebrasil.com.br/londrina/marmoraria-elegance/","Fonte 2")</x:f>
        <x:v>HYPERLINK is not implemented. linkLocation=https://marmorebrasil.com.br/londrina/marmoraria-elegance/, friendlyName=Fonte 2</x:v>
      </x:c>
      <x:c r="AH5" s="22" t="e">
        <x:f>HYPERLINK("https://marmorebrasil.com.br/londrina/marmoraria-elegance/","Fonte 3")</x:f>
        <x:v>HYPERLINK is not implemented. linkLocation=https://marmorebrasil.com.br/londrina/marmoraria-elegance/, friendlyName=Fonte 3</x:v>
      </x:c>
      <x:c r="AI5" s="37" t="d">
        <x:v>2026-10-18T15:00:00.000Z</x:v>
      </x:c>
      <x:c r="AJ5" s="19" t="str">
        <x:v>não contatado</x:v>
      </x:c>
      <x:c r="AK5" s="19" t="str"/>
      <x:c r="AL5" s="40" t="n">
        <x:v>-23.2613165</x:v>
      </x:c>
      <x:c r="AM5" s="40" t="n">
        <x:v>-51.1571363</x:v>
      </x:c>
    </x:row>
    <x:row r="6">
      <x:c r="A6" s="20" t="str">
        <x:v>029be983c88a</x:v>
      </x:c>
      <x:c r="B6" s="20" t="str">
        <x:v>Marmoraria Siena - Marmoraria em Londrina</x:v>
      </x:c>
      <x:c r="C6" s="20" t="str">
        <x:v>Marmorarias</x:v>
      </x:c>
      <x:c r="D6" s="23" t="str">
        <x:v>Tv. Dalva de Oliveira, 1101 - Parque das Indústrias Leves, Londrina - PR, 86030-370</x:v>
      </x:c>
      <x:c r="E6" s="23" t="str">
        <x:v>Parque das Indústrias Leves</x:v>
      </x:c>
      <x:c r="F6" s="20" t="str">
        <x:v>Londrina</x:v>
      </x:c>
      <x:c r="G6" s="20" t="str">
        <x:v>PR</x:v>
      </x:c>
      <x:c r="H6" s="20" t="str">
        <x:v>(43) 98405-7320</x:v>
      </x:c>
      <x:c r="I6" s="20" t="str">
        <x:v>SIM</x:v>
      </x:c>
      <x:c r="J6" s="20" t="str">
        <x:v>(43) 98405-7320</x:v>
      </x:c>
      <x:c r="K6" s="20" t="e">
        <x:f>HYPERLINK("https://www.google.com/maps/search/?api=1&amp;query=Marmoraria+Siena+-+Marmoraria+em+Londrina+Tv.+Dalva+de+Oliveira%2C+1101+-+Parque+das+Ind%C3%BAstrias+Leves%2C+Londrina+-+PR%2C+86030-370","Abrir mapa")</x:f>
        <x:v>HYPERLINK is not implemented. linkLocation=https://www.google.com/maps/search/?api=1&amp;query=Marmoraria+Siena+-+Marmoraria+em+Londrina+Tv.+Dalva+de+Oliveira%2C+1101+-+Parque+das+Ind%C3%BAstrias+Leves%2C+Londrina+-+PR%2C+86030-370, friendlyName=Abrir mapa</x:v>
      </x:c>
      <x:c r="L6" s="26" t="n">
        <x:v>5</x:v>
      </x:c>
      <x:c r="M6" s="29" t="n">
        <x:v>109</x:v>
      </x:c>
      <x:c r="N6" s="20"/>
      <x:c r="O6" s="20" t="str">
        <x:v>NÃO</x:v>
      </x:c>
      <x:c r="P6" s="20" t="str">
        <x:v>NÃO APLICÁVEL</x:v>
      </x:c>
      <x:c r="Q6" s="32"/>
      <x:c r="R6" s="20" t="str">
        <x:v>SEM SITE CONFIRMADO</x:v>
      </x:c>
      <x:c r="S6" s="20" t="e">
        <x:f>HYPERLINK("https://www.instagram.com/marmorariasienalondrina/?hl=pt-br","Instagram")</x:f>
        <x:v>HYPERLINK is not implemented. linkLocation=https://www.instagram.com/marmorariasienalondrina/?hl=pt-br, friendlyName=Instagram</x:v>
      </x:c>
      <x:c r="T6" s="20"/>
      <x:c r="U6" s="20" t="str">
        <x:v>NÃO IDENTIFICADO</x:v>
      </x:c>
      <x:c r="V6" s="20" t="str">
        <x:v>NÃO IDENTIFICADO</x:v>
      </x:c>
      <x:c r="W6" s="20" t="str">
        <x:v>NÃO IDENTIFICADO</x:v>
      </x:c>
      <x:c r="X6" s="23" t="str">
        <x:v>Mármores, granitos, bancadas, pias e revestimentos (categoria pública; confirmar escopo diretamente).</x:v>
      </x:c>
      <x:c r="Y6" s="2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Z6" s="23" t="str">
        <x:v>Site institucional com portfólio e integração ao WhatsApp. Catálogo visual com pedido de orçamento. Formulário qualificado e integração com WhatsApp/CRM.</x:v>
      </x:c>
      <x:c r="AA6" s="23" t="str">
        <x:v>Apresentar um protótipo curto para marmorarias, destacar portfólio e orçamento no celular, e pedir confirmação do processo atual antes de afirmar qualquer problema interno.</x:v>
      </x:c>
      <x:c r="AB6" s="23" t="str">
        <x:v>Nome, endereço, telefone, localização e nota/avaliações publicadas como dados do Google na fonte setorial.</x:v>
      </x:c>
      <x:c r="AC6" s="35" t="n">
        <x:v>68</x:v>
      </x:c>
      <x:c r="AD6" s="23" t="str">
        <x:v>Prioridade B — Alta</x:v>
      </x:c>
      <x:c r="AE6" s="23" t="str">
        <x:v>25 site próprio ausente (confirmado); 0 ausência de catálogo não confirmada; 8 captação pública concentrada em contato direto; 15 atividade/reputação pública forte; 10 protótipo reaproveitável no nicho; 10 telefone e endereço públicos verificados na fonte</x:v>
      </x:c>
      <x:c r="AF6" s="23" t="e">
        <x:f>HYPERLINK("https://marmorebrasil.com.br/londrina/","Fonte 1")</x:f>
        <x:v>HYPERLINK is not implemented. linkLocation=https://marmorebrasil.com.br/londrina/, friendlyName=Fonte 1</x:v>
      </x:c>
      <x:c r="AG6" s="23" t="e">
        <x:f>HYPERLINK("https://marmorebrasil.com.br/londrina/marmoraria-siena-marmoraria-em-londrina/","Fonte 2")</x:f>
        <x:v>HYPERLINK is not implemented. linkLocation=https://marmorebrasil.com.br/londrina/marmoraria-siena-marmoraria-em-londrina/, friendlyName=Fonte 2</x:v>
      </x:c>
      <x:c r="AH6" s="23" t="e">
        <x:f>HYPERLINK("https://www.econodata.com.br/consulta-empresa/39381430000136-edson-e-isabelle-marmoraria-ltda","Fonte 3")</x:f>
        <x:v>HYPERLINK is not implemented. linkLocation=https://www.econodata.com.br/consulta-empresa/39381430000136-edson-e-isabelle-marmoraria-ltda, friendlyName=Fonte 3</x:v>
      </x:c>
      <x:c r="AI6" s="38" t="d">
        <x:v>2026-10-18T15:00:00.000Z</x:v>
      </x:c>
      <x:c r="AJ6" s="20" t="str">
        <x:v>não contatado</x:v>
      </x:c>
      <x:c r="AK6" s="20" t="str"/>
      <x:c r="AL6" s="41" t="n">
        <x:v>-23.2844043</x:v>
      </x:c>
      <x:c r="AM6" s="41" t="n">
        <x:v>-51.1334575</x:v>
      </x:c>
    </x:row>
    <x:row r="7">
      <x:c r="A7" s="20" t="str">
        <x:v>b8ad3b02e625</x:v>
      </x:c>
      <x:c r="B7" s="20" t="str">
        <x:v>Graniart Marmoraria</x:v>
      </x:c>
      <x:c r="C7" s="20" t="str">
        <x:v>Marmorarias</x:v>
      </x:c>
      <x:c r="D7" s="23" t="str">
        <x:v>R. Augusto Guerino, 123 Jardim - Portal de Versalhes I, Londrina - PR, 86057-240</x:v>
      </x:c>
      <x:c r="E7" s="23" t="str">
        <x:v>Portal de Versalhes I</x:v>
      </x:c>
      <x:c r="F7" s="20" t="str">
        <x:v>Londrina</x:v>
      </x:c>
      <x:c r="G7" s="20" t="str">
        <x:v>PR</x:v>
      </x:c>
      <x:c r="H7" s="20" t="str">
        <x:v>(43) 3343-3506</x:v>
      </x:c>
      <x:c r="I7" s="20" t="str">
        <x:v>NÃO IDENTIFICADO</x:v>
      </x:c>
      <x:c r="J7" s="20" t="str"/>
      <x:c r="K7" s="20" t="e">
        <x:f>HYPERLINK("https://www.google.com/maps/search/?api=1&amp;query=Graniart+Marmoraria+R.+Augusto+Guerino%2C+123+Jardim+-+Portal+de+Versalhes+I%2C+Londrina+-+PR%2C+86057-240","Abrir mapa")</x:f>
        <x:v>HYPERLINK is not implemented. linkLocation=https://www.google.com/maps/search/?api=1&amp;query=Graniart+Marmoraria+R.+Augusto+Guerino%2C+123+Jardim+-+Portal+de+Versalhes+I%2C+Londrina+-+PR%2C+86057-240, friendlyName=Abrir mapa</x:v>
      </x:c>
      <x:c r="L7" s="26" t="n">
        <x:v>4.8</x:v>
      </x:c>
      <x:c r="M7" s="29" t="n">
        <x:v>17</x:v>
      </x:c>
      <x:c r="N7" s="20"/>
      <x:c r="O7" s="20" t="str">
        <x:v>NÃO</x:v>
      </x:c>
      <x:c r="P7" s="20" t="str">
        <x:v>NÃO APLICÁVEL</x:v>
      </x:c>
      <x:c r="Q7" s="32"/>
      <x:c r="R7" s="20" t="str">
        <x:v>SEM SITE CONFIRMADO</x:v>
      </x:c>
      <x:c r="S7" s="20"/>
      <x:c r="T7" s="20"/>
      <x:c r="U7" s="20" t="str">
        <x:v>NÃO IDENTIFICADO</x:v>
      </x:c>
      <x:c r="V7" s="20" t="str">
        <x:v>NÃO IDENTIFICADO</x:v>
      </x:c>
      <x:c r="W7" s="20" t="str">
        <x:v>NÃO IDENTIFICADO</x:v>
      </x:c>
      <x:c r="X7" s="23" t="str">
        <x:v>Mármores, granitos, bancadas, pias e revestimentos (categoria pública; confirmar escopo diretamente).</x:v>
      </x:c>
      <x:c r="Y7" s="2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Z7" s="23" t="str">
        <x:v>Site institucional com portfólio e integração ao WhatsApp. Catálogo visual com pedido de orçamento. Formulário qualificado e integração com WhatsApp/CRM.</x:v>
      </x:c>
      <x:c r="AA7" s="23" t="str">
        <x:v>Apresentar um protótipo curto para marmorarias, destacar portfólio e orçamento no celular, e pedir confirmação do processo atual antes de afirmar qualquer problema interno.</x:v>
      </x:c>
      <x:c r="AB7" s="23" t="str">
        <x:v>Nome, endereço, telefone, localização e nota/avaliações publicadas como dados do Google na fonte setorial.</x:v>
      </x:c>
      <x:c r="AC7" s="35" t="n">
        <x:v>65</x:v>
      </x:c>
      <x:c r="AD7" s="23" t="str">
        <x:v>Prioridade B — Alta</x:v>
      </x:c>
      <x:c r="AE7" s="23" t="str">
        <x:v>25 site próprio ausente (confirmado); 0 ausência de catálogo não confirmada; 8 captação pública concentrada em contato direto; 12 atividade/reputação pública moderada; 10 protótipo reaproveitável no nicho; 10 telefone e endereço públicos verificados na fonte</x:v>
      </x:c>
      <x:c r="AF7" s="23" t="e">
        <x:f>HYPERLINK("https://marmorebrasil.com.br/londrina/","Fonte 1")</x:f>
        <x:v>HYPERLINK is not implemented. linkLocation=https://marmorebrasil.com.br/londrina/, friendlyName=Fonte 1</x:v>
      </x:c>
      <x:c r="AG7" s="23" t="e">
        <x:f>HYPERLINK("https://marmorebrasil.com.br/londrina/graniart-marmoraria/","Fonte 2")</x:f>
        <x:v>HYPERLINK is not implemented. linkLocation=https://marmorebrasil.com.br/londrina/graniart-marmoraria/, friendlyName=Fonte 2</x:v>
      </x:c>
      <x:c r="AH7" s="23" t="e">
        <x:f>HYPERLINK("https://www.econodata.com.br/consulta-empresa/07655559000107-grepacol-comercio-de-produtos-decorativos-ltda","Fonte 3")</x:f>
        <x:v>HYPERLINK is not implemented. linkLocation=https://www.econodata.com.br/consulta-empresa/07655559000107-grepacol-comercio-de-produtos-decorativos-ltda, friendlyName=Fonte 3</x:v>
      </x:c>
      <x:c r="AI7" s="38" t="d">
        <x:v>2026-10-18T15:00:00.000Z</x:v>
      </x:c>
      <x:c r="AJ7" s="20" t="str">
        <x:v>não contatado</x:v>
      </x:c>
      <x:c r="AK7" s="20" t="str"/>
      <x:c r="AL7" s="41" t="n">
        <x:v>-23.3225803</x:v>
      </x:c>
      <x:c r="AM7" s="41" t="n">
        <x:v>-51.1951904</x:v>
      </x:c>
    </x:row>
    <x:row r="8">
      <x:c r="A8" s="20" t="str">
        <x:v>8e53675e6286</x:v>
      </x:c>
      <x:c r="B8" s="20" t="str">
        <x:v>Marmoraria Classe A</x:v>
      </x:c>
      <x:c r="C8" s="20" t="str">
        <x:v>Marmorarias</x:v>
      </x:c>
      <x:c r="D8" s="23" t="str">
        <x:v>Av. Dez de Dezembro - Lago Igapó, Londrina - PR</x:v>
      </x:c>
      <x:c r="E8" s="23" t="str">
        <x:v>Lago Igapó</x:v>
      </x:c>
      <x:c r="F8" s="20" t="str">
        <x:v>Londrina</x:v>
      </x:c>
      <x:c r="G8" s="20" t="str">
        <x:v>PR</x:v>
      </x:c>
      <x:c r="H8" s="20" t="str">
        <x:v>(43) 3343-3298</x:v>
      </x:c>
      <x:c r="I8" s="20" t="str">
        <x:v>SIM</x:v>
      </x:c>
      <x:c r="J8" s="20" t="str">
        <x:v>(43) 99995-1781</x:v>
      </x:c>
      <x:c r="K8" s="20" t="e">
        <x:f>HYPERLINK("https://www.google.com/maps/search/?api=1&amp;query=Marmoraria+Classe+A+Av.+Dez+de+Dezembro+-+Lago+Igap%C3%B3%2C+Londrina+-+PR","Abrir mapa")</x:f>
        <x:v>HYPERLINK is not implemented. linkLocation=https://www.google.com/maps/search/?api=1&amp;query=Marmoraria+Classe+A+Av.+Dez+de+Dezembro+-+Lago+Igap%C3%B3%2C+Londrina+-+PR, friendlyName=Abrir mapa</x:v>
      </x:c>
      <x:c r="L8" s="26" t="n">
        <x:v>4.1</x:v>
      </x:c>
      <x:c r="M8" s="29" t="n">
        <x:v>17</x:v>
      </x:c>
      <x:c r="N8" s="20"/>
      <x:c r="O8" s="20" t="str">
        <x:v>NÃO</x:v>
      </x:c>
      <x:c r="P8" s="20" t="str">
        <x:v>NÃO APLICÁVEL</x:v>
      </x:c>
      <x:c r="Q8" s="32"/>
      <x:c r="R8" s="20" t="str">
        <x:v>SEM SITE CONFIRMADO</x:v>
      </x:c>
      <x:c r="S8" s="20"/>
      <x:c r="T8" s="20"/>
      <x:c r="U8" s="20" t="str">
        <x:v>NÃO IDENTIFICADO</x:v>
      </x:c>
      <x:c r="V8" s="20" t="str">
        <x:v>NÃO IDENTIFICADO</x:v>
      </x:c>
      <x:c r="W8" s="20" t="str">
        <x:v>NÃO IDENTIFICADO</x:v>
      </x:c>
      <x:c r="X8" s="23" t="str">
        <x:v>Mármores, granitos, bancadas, pias e revestimentos (categoria pública; confirmar escopo diretamente).</x:v>
      </x:c>
      <x:c r="Y8" s="2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Z8" s="23" t="str">
        <x:v>Site institucional com portfólio e integração ao WhatsApp. Catálogo visual com pedido de orçamento. Formulário qualificado e integração com WhatsApp/CRM.</x:v>
      </x:c>
      <x:c r="AA8" s="23" t="str">
        <x:v>Apresentar um protótipo curto para marmorarias, destacar portfólio e orçamento no celular, e pedir confirmação do processo atual antes de afirmar qualquer problema interno.</x:v>
      </x:c>
      <x:c r="AB8" s="23" t="str">
        <x:v>Nome, endereço, telefone, localização e nota/avaliações publicadas como dados do Google na fonte setorial.</x:v>
      </x:c>
      <x:c r="AC8" s="35" t="n">
        <x:v>65</x:v>
      </x:c>
      <x:c r="AD8" s="23" t="str">
        <x:v>Prioridade B — Alta</x:v>
      </x:c>
      <x:c r="AE8" s="23" t="str">
        <x:v>25 site próprio ausente (confirmado); 0 ausência de catálogo não confirmada; 8 captação pública concentrada em contato direto; 12 atividade/reputação pública moderada; 10 protótipo reaproveitável no nicho; 10 telefone e endereço públicos verificados na fonte</x:v>
      </x:c>
      <x:c r="AF8" s="23" t="e">
        <x:f>HYPERLINK("https://marmorebrasil.com.br/londrina/","Fonte 1")</x:f>
        <x:v>HYPERLINK is not implemented. linkLocation=https://marmorebrasil.com.br/londrina/, friendlyName=Fonte 1</x:v>
      </x:c>
      <x:c r="AG8" s="23" t="e">
        <x:f>HYPERLINK("https://marmorebrasil.com.br/londrina/marmoraria-classe-a/","Fonte 2")</x:f>
        <x:v>HYPERLINK is not implemented. linkLocation=https://marmorebrasil.com.br/londrina/marmoraria-classe-a/, friendlyName=Fonte 2</x:v>
      </x:c>
      <x:c r="AH8" s="23" t="e">
        <x:f>HYPERLINK("https://casadosdados.com.br/solucao/cnpj/marmoraria-classe-a-ltda-45614980000150","Fonte 3")</x:f>
        <x:v>HYPERLINK is not implemented. linkLocation=https://casadosdados.com.br/solucao/cnpj/marmoraria-classe-a-ltda-45614980000150, friendlyName=Fonte 3</x:v>
      </x:c>
      <x:c r="AI8" s="38" t="d">
        <x:v>2026-10-18T15:00:00.000Z</x:v>
      </x:c>
      <x:c r="AJ8" s="20" t="str">
        <x:v>não contatado</x:v>
      </x:c>
      <x:c r="AK8" s="20" t="str"/>
      <x:c r="AL8" s="41" t="n">
        <x:v>-23.3595544</x:v>
      </x:c>
      <x:c r="AM8" s="41" t="n">
        <x:v>-51.1516949</x:v>
      </x:c>
    </x:row>
    <x:row r="9">
      <x:c r="A9" s="20" t="str">
        <x:v>ac74553e416d</x:v>
      </x:c>
      <x:c r="B9" s="20" t="str">
        <x:v>Marmoraria Revestindo Londrina</x:v>
      </x:c>
      <x:c r="C9" s="20" t="str">
        <x:v>Marmorarias</x:v>
      </x:c>
      <x:c r="D9" s="23" t="str">
        <x:v>R. do Pavão, 255 - Parque das Indústrias Leves, Londrina - PR, 86030-360</x:v>
      </x:c>
      <x:c r="E9" s="23" t="str">
        <x:v>Parque das Indústrias Leves</x:v>
      </x:c>
      <x:c r="F9" s="20" t="str">
        <x:v>Londrina</x:v>
      </x:c>
      <x:c r="G9" s="20" t="str">
        <x:v>PR</x:v>
      </x:c>
      <x:c r="H9" s="20" t="str">
        <x:v>(43) 99179-5748</x:v>
      </x:c>
      <x:c r="I9" s="20" t="str">
        <x:v>NÃO IDENTIFICADO</x:v>
      </x:c>
      <x:c r="J9" s="20" t="str"/>
      <x:c r="K9" s="20" t="e">
        <x:f>HYPERLINK("https://www.google.com/maps/search/?api=1&amp;query=Marmoraria+Revestindo+Londrina+R.+do+Pav%C3%A3o%2C+255+-+Parque+das+Ind%C3%BAstrias+Leves%2C+Londrina+-+PR%2C+86030-360","Abrir mapa")</x:f>
        <x:v>HYPERLINK is not implemented. linkLocation=https://www.google.com/maps/search/?api=1&amp;query=Marmoraria+Revestindo+Londrina+R.+do+Pav%C3%A3o%2C+255+-+Parque+das+Ind%C3%BAstrias+Leves%2C+Londrina+-+PR%2C+86030-360, friendlyName=Abrir mapa</x:v>
      </x:c>
      <x:c r="L9" s="26" t="n">
        <x:v>4.3</x:v>
      </x:c>
      <x:c r="M9" s="29" t="n">
        <x:v>22</x:v>
      </x:c>
      <x:c r="N9" s="20"/>
      <x:c r="O9" s="20" t="str">
        <x:v>NÃO</x:v>
      </x:c>
      <x:c r="P9" s="20" t="str">
        <x:v>NÃO APLICÁVEL</x:v>
      </x:c>
      <x:c r="Q9" s="32"/>
      <x:c r="R9" s="20" t="str">
        <x:v>SEM SITE CONFIRMADO</x:v>
      </x:c>
      <x:c r="S9" s="20" t="e">
        <x:f>HYPERLINK("https://www.instagram.com/revestindolondrina1/","Instagram")</x:f>
        <x:v>HYPERLINK is not implemented. linkLocation=https://www.instagram.com/revestindolondrina1/, friendlyName=Instagram</x:v>
      </x:c>
      <x:c r="T9" s="20"/>
      <x:c r="U9" s="20" t="str">
        <x:v>NÃO IDENTIFICADO</x:v>
      </x:c>
      <x:c r="V9" s="20" t="str">
        <x:v>NÃO IDENTIFICADO</x:v>
      </x:c>
      <x:c r="W9" s="20" t="str">
        <x:v>NÃO IDENTIFICADO</x:v>
      </x:c>
      <x:c r="X9" s="23" t="str">
        <x:v>Mármores, granitos, bancadas, pias e revestimentos (categoria pública; confirmar escopo diretamente).</x:v>
      </x:c>
      <x:c r="Y9" s="2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Z9" s="23" t="str">
        <x:v>Site institucional com portfólio e integração ao WhatsApp. Catálogo visual com pedido de orçamento. Formulário qualificado e integração com WhatsApp/CRM.</x:v>
      </x:c>
      <x:c r="AA9" s="23" t="str">
        <x:v>Apresentar um protótipo curto para marmorarias, destacar portfólio e orçamento no celular, e pedir confirmação do processo atual antes de afirmar qualquer problema interno.</x:v>
      </x:c>
      <x:c r="AB9" s="23" t="str">
        <x:v>Nome, endereço, telefone, localização e nota/avaliações publicadas como dados do Google na fonte setorial.</x:v>
      </x:c>
      <x:c r="AC9" s="35" t="n">
        <x:v>65</x:v>
      </x:c>
      <x:c r="AD9" s="23" t="str">
        <x:v>Prioridade B — Alta</x:v>
      </x:c>
      <x:c r="AE9" s="23" t="str">
        <x:v>25 site próprio ausente (confirmado); 0 ausência de catálogo não confirmada; 8 captação pública concentrada em contato direto; 12 atividade/reputação pública moderada; 10 protótipo reaproveitável no nicho; 10 telefone e endereço públicos verificados na fonte</x:v>
      </x:c>
      <x:c r="AF9" s="23" t="e">
        <x:f>HYPERLINK("https://marmorebrasil.com.br/londrina/","Fonte 1")</x:f>
        <x:v>HYPERLINK is not implemented. linkLocation=https://marmorebrasil.com.br/londrina/, friendlyName=Fonte 1</x:v>
      </x:c>
      <x:c r="AG9" s="23" t="e">
        <x:f>HYPERLINK("https://marmorebrasil.com.br/londrina/marmoraria-revestindo-londrina/","Fonte 2")</x:f>
        <x:v>HYPERLINK is not implemented. linkLocation=https://marmorebrasil.com.br/londrina/marmoraria-revestindo-londrina/, friendlyName=Fonte 2</x:v>
      </x:c>
      <x:c r="AH9" s="23" t="e">
        <x:f>HYPERLINK("https://br.linkedin.com/in/camila-pinheiro-286121293","Fonte 3")</x:f>
        <x:v>HYPERLINK is not implemented. linkLocation=https://br.linkedin.com/in/camila-pinheiro-286121293, friendlyName=Fonte 3</x:v>
      </x:c>
      <x:c r="AI9" s="38" t="d">
        <x:v>2026-10-18T15:00:00.000Z</x:v>
      </x:c>
      <x:c r="AJ9" s="20" t="str">
        <x:v>não contatado</x:v>
      </x:c>
      <x:c r="AK9" s="20" t="str"/>
      <x:c r="AL9" s="41" t="n">
        <x:v>-23.2907359</x:v>
      </x:c>
      <x:c r="AM9" s="41" t="n">
        <x:v>-51.1346653</x:v>
      </x:c>
    </x:row>
    <x:row r="10">
      <x:c r="A10" s="20" t="str">
        <x:v>a7ac1c97b62d</x:v>
      </x:c>
      <x:c r="B10" s="20" t="str">
        <x:v>Aduetto Marmoraria</x:v>
      </x:c>
      <x:c r="C10" s="20" t="str">
        <x:v>Marmorarias</x:v>
      </x:c>
      <x:c r="D10" s="23" t="str">
        <x:v>Av. Europa, 835 - Piza, Londrina - PR, 86041-000</x:v>
      </x:c>
      <x:c r="E10" s="23" t="str">
        <x:v>Piza</x:v>
      </x:c>
      <x:c r="F10" s="20" t="str">
        <x:v>Londrina</x:v>
      </x:c>
      <x:c r="G10" s="20" t="str">
        <x:v>PR</x:v>
      </x:c>
      <x:c r="H10" s="20" t="str">
        <x:v>(43) 98810-0015</x:v>
      </x:c>
      <x:c r="I10" s="20" t="str">
        <x:v>NÃO IDENTIFICADO</x:v>
      </x:c>
      <x:c r="J10" s="20" t="str"/>
      <x:c r="K10" s="20" t="e">
        <x:f>HYPERLINK("https://www.google.com/maps/search/?api=1&amp;query=Aduetto+Marmoraria+Av.+Europa%2C+835+-+Piza%2C+Londrina+-+PR%2C+86041-000","Abrir mapa")</x:f>
        <x:v>HYPERLINK is not implemented. linkLocation=https://www.google.com/maps/search/?api=1&amp;query=Aduetto+Marmoraria+Av.+Europa%2C+835+-+Piza%2C+Londrina+-+PR%2C+86041-000, friendlyName=Abrir mapa</x:v>
      </x:c>
      <x:c r="L10" s="26" t="n">
        <x:v>5</x:v>
      </x:c>
      <x:c r="M10" s="29" t="n">
        <x:v>37</x:v>
      </x:c>
      <x:c r="N10" s="20" t="e">
        <x:f>HYPERLINK("https://aduettomarmoraria.com/","Abrir site")</x:f>
        <x:v>HYPERLINK is not implemented. linkLocation=https://aduettomarmoraria.com/, friendlyName=Abrir site</x:v>
      </x:c>
      <x:c r="O10" s="20" t="str">
        <x:v>SIM</x:v>
      </x:c>
      <x:c r="P10" s="20" t="str">
        <x:v>ACESSÍVEL</x:v>
      </x:c>
      <x:c r="Q10" s="32" t="n">
        <x:v>200</x:v>
      </x:c>
      <x:c r="R10" s="20" t="str">
        <x:v>SITE CONFIRMADO</x:v>
      </x:c>
      <x:c r="S10" s="20"/>
      <x:c r="T10" s="20"/>
      <x:c r="U10" s="20" t="str">
        <x:v>NÃO IDENTIFICADO</x:v>
      </x:c>
      <x:c r="V10" s="20" t="str">
        <x:v>NÃO IDENTIFICADO</x:v>
      </x:c>
      <x:c r="W10" s="20" t="str">
        <x:v>NÃO IDENTIFICADO</x:v>
      </x:c>
      <x:c r="X10" s="23" t="str">
        <x:v>Mármores, granitos, bancadas, pias e revestimentos (categoria pública; confirmar escopo diretamente).</x:v>
      </x:c>
      <x:c r="Y10" s="23" t="str">
        <x:v>Catálogo digital não identificado; ausência não confirmada. A captação pública encontrada privilegia telefone/diretório; há potencial de simplificar pedidos de orçamento.</x:v>
      </x:c>
      <x:c r="Z10" s="23" t="str">
        <x:v>Catálogo visual com pedido de orçamento. Formulário qualificado e integração com WhatsApp/CRM.</x:v>
      </x:c>
      <x:c r="AA10" s="23" t="str">
        <x:v>Apresentar um protótipo curto para marmorarias, destacar portfólio e orçamento no celular, e pedir confirmação do processo atual antes de afirmar qualquer problema interno.</x:v>
      </x:c>
      <x:c r="AB10" s="23" t="str">
        <x:v>Nome, endereço, telefone, localização e nota/avaliações publicadas como dados do Google na fonte setorial.</x:v>
      </x:c>
      <x:c r="AC10" s="35" t="n">
        <x:v>43</x:v>
      </x:c>
      <x:c r="AD10" s="23" t="str">
        <x:v>Prioridade C — Média</x:v>
      </x:c>
      <x:c r="AE10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0" s="23" t="e">
        <x:f>HYPERLINK("https://marmorebrasil.com.br/londrina/","Fonte 1")</x:f>
        <x:v>HYPERLINK is not implemented. linkLocation=https://marmorebrasil.com.br/londrina/, friendlyName=Fonte 1</x:v>
      </x:c>
      <x:c r="AG10" s="23" t="e">
        <x:f>HYPERLINK("https://marmorebrasil.com.br/londrina/aduetto-marmoraria/","Fonte 2")</x:f>
        <x:v>HYPERLINK is not implemented. linkLocation=https://marmorebrasil.com.br/londrina/aduetto-marmoraria/, friendlyName=Fonte 2</x:v>
      </x:c>
      <x:c r="AH10" s="23"/>
      <x:c r="AI10" s="38" t="d">
        <x:v>2026-10-18T15:00:00.000Z</x:v>
      </x:c>
      <x:c r="AJ10" s="20" t="str">
        <x:v>não contatado</x:v>
      </x:c>
      <x:c r="AK10" s="20" t="str"/>
      <x:c r="AL10" s="41" t="n">
        <x:v>-23.3529809</x:v>
      </x:c>
      <x:c r="AM10" s="41" t="n">
        <x:v>-51.1391279</x:v>
      </x:c>
    </x:row>
    <x:row r="11">
      <x:c r="A11" s="20" t="str">
        <x:v>b4827db22c48</x:v>
      </x:c>
      <x:c r="B11" s="20" t="str">
        <x:v>Belgram Mármores e Granitos</x:v>
      </x:c>
      <x:c r="C11" s="20" t="str">
        <x:v>Marmorarias</x:v>
      </x:c>
      <x:c r="D11" s="23" t="str">
        <x:v>Av. Harry Prochet, 1120 - Jardim Sao Jorge, Londrina - PR, 86047-040</x:v>
      </x:c>
      <x:c r="E11" s="23" t="str">
        <x:v>Jardim Sao Jorge</x:v>
      </x:c>
      <x:c r="F11" s="20" t="str">
        <x:v>Londrina</x:v>
      </x:c>
      <x:c r="G11" s="20" t="str">
        <x:v>PR</x:v>
      </x:c>
      <x:c r="H11" s="20" t="str">
        <x:v>(43) 3348-9100</x:v>
      </x:c>
      <x:c r="I11" s="20" t="str">
        <x:v>NÃO IDENTIFICADO</x:v>
      </x:c>
      <x:c r="J11" s="20" t="str"/>
      <x:c r="K11" s="20" t="e">
        <x:f>HYPERLINK("https://www.google.com/maps/search/?api=1&amp;query=Belgram+M%C3%A1rmores+e+Granitos+Av.+Harry+Prochet%2C+1120+-+Jardim+Sao+Jorge%2C+Londrina+-+PR%2C+86047-040","Abrir mapa")</x:f>
        <x:v>HYPERLINK is not implemented. linkLocation=https://www.google.com/maps/search/?api=1&amp;query=Belgram+M%C3%A1rmores+e+Granitos+Av.+Harry+Prochet%2C+1120+-+Jardim+Sao+Jorge%2C+Londrina+-+PR%2C+86047-040, friendlyName=Abrir mapa</x:v>
      </x:c>
      <x:c r="L11" s="26" t="n">
        <x:v>4.8</x:v>
      </x:c>
      <x:c r="M11" s="29" t="n">
        <x:v>34</x:v>
      </x:c>
      <x:c r="N11" s="20" t="e">
        <x:f>HYPERLINK("http://marmorariabelgram.com.br/","Abrir site")</x:f>
        <x:v>HYPERLINK is not implemented. linkLocation=http://marmorariabelgram.com.br/, friendlyName=Abrir site</x:v>
      </x:c>
      <x:c r="O11" s="20" t="str">
        <x:v>SIM</x:v>
      </x:c>
      <x:c r="P11" s="20" t="str">
        <x:v>ACESSÍVEL</x:v>
      </x:c>
      <x:c r="Q11" s="32" t="n">
        <x:v>200</x:v>
      </x:c>
      <x:c r="R11" s="20" t="str">
        <x:v>SITE CONFIRMADO</x:v>
      </x:c>
      <x:c r="S11" s="20"/>
      <x:c r="T11" s="20"/>
      <x:c r="U11" s="20" t="str">
        <x:v>NÃO IDENTIFICADO</x:v>
      </x:c>
      <x:c r="V11" s="20" t="str">
        <x:v>NÃO IDENTIFICADO</x:v>
      </x:c>
      <x:c r="W11" s="20" t="str">
        <x:v>NÃO IDENTIFICADO</x:v>
      </x:c>
      <x:c r="X11" s="23" t="str">
        <x:v>Mármores, granitos, bancadas, pias e revestimentos (categoria pública; confirmar escopo diretamente).</x:v>
      </x:c>
      <x:c r="Y11" s="23" t="str">
        <x:v>Catálogo digital não identificado; ausência não confirmada. A captação pública encontrada privilegia telefone/diretório; há potencial de simplificar pedidos de orçamento.</x:v>
      </x:c>
      <x:c r="Z11" s="23" t="str">
        <x:v>Catálogo visual com pedido de orçamento. Formulário qualificado e integração com WhatsApp/CRM.</x:v>
      </x:c>
      <x:c r="AA11" s="23" t="str">
        <x:v>Apresentar um protótipo curto para marmorarias, destacar portfólio e orçamento no celular, e pedir confirmação do processo atual antes de afirmar qualquer problema interno.</x:v>
      </x:c>
      <x:c r="AB11" s="23" t="str">
        <x:v>Nome, endereço, telefone, localização e nota/avaliações publicadas como dados do Google na fonte setorial.</x:v>
      </x:c>
      <x:c r="AC11" s="35" t="n">
        <x:v>43</x:v>
      </x:c>
      <x:c r="AD11" s="23" t="str">
        <x:v>Prioridade C — Média</x:v>
      </x:c>
      <x:c r="AE11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1" s="23" t="e">
        <x:f>HYPERLINK("https://marmorebrasil.com.br/londrina/","Fonte 1")</x:f>
        <x:v>HYPERLINK is not implemented. linkLocation=https://marmorebrasil.com.br/londrina/, friendlyName=Fonte 1</x:v>
      </x:c>
      <x:c r="AG11" s="23" t="e">
        <x:f>HYPERLINK("https://marmorebrasil.com.br/londrina/belgram-marmores-e-granitos/","Fonte 2")</x:f>
        <x:v>HYPERLINK is not implemented. linkLocation=https://marmorebrasil.com.br/londrina/belgram-marmores-e-granitos/, friendlyName=Fonte 2</x:v>
      </x:c>
      <x:c r="AH11" s="23"/>
      <x:c r="AI11" s="38" t="d">
        <x:v>2026-10-18T15:00:00.000Z</x:v>
      </x:c>
      <x:c r="AJ11" s="20" t="str">
        <x:v>não contatado</x:v>
      </x:c>
      <x:c r="AK11" s="20" t="str"/>
      <x:c r="AL11" s="41" t="n">
        <x:v>-23.3465177</x:v>
      </x:c>
      <x:c r="AM11" s="41" t="n">
        <x:v>-51.1643824</x:v>
      </x:c>
    </x:row>
    <x:row r="12">
      <x:c r="A12" s="20" t="str">
        <x:v>86d085f85288</x:v>
      </x:c>
      <x:c r="B12" s="20" t="str">
        <x:v>Euromar Mármores e Granitos - Distribuidora Atacadista</x:v>
      </x:c>
      <x:c r="C12" s="20" t="str">
        <x:v>Marmorarias</x:v>
      </x:c>
      <x:c r="D12" s="23" t="str">
        <x:v>R. Niterói, 45 - Centro, Londrina - PR, 86026-040</x:v>
      </x:c>
      <x:c r="E12" s="23" t="str">
        <x:v>Centro</x:v>
      </x:c>
      <x:c r="F12" s="20" t="str">
        <x:v>Londrina</x:v>
      </x:c>
      <x:c r="G12" s="20" t="str">
        <x:v>PR</x:v>
      </x:c>
      <x:c r="H12" s="20" t="str">
        <x:v>(43) 99106-9490</x:v>
      </x:c>
      <x:c r="I12" s="20" t="str">
        <x:v>NÃO IDENTIFICADO</x:v>
      </x:c>
      <x:c r="J12" s="20" t="str"/>
      <x:c r="K12" s="20" t="e">
        <x:f>HYPERLINK("https://www.google.com/maps/search/?api=1&amp;query=Euromar+M%C3%A1rmores+e+Granitos+-+Distribuidora+Atacadista+R.+Niter%C3%B3i%2C+45+-+Centro%2C+Londrina+-+PR%2C+86026-040","Abrir mapa")</x:f>
        <x:v>HYPERLINK is not implemented. linkLocation=https://www.google.com/maps/search/?api=1&amp;query=Euromar+M%C3%A1rmores+e+Granitos+-+Distribuidora+Atacadista+R.+Niter%C3%B3i%2C+45+-+Centro%2C+Londrina+-+PR%2C+86026-040, friendlyName=Abrir mapa</x:v>
      </x:c>
      <x:c r="L12" s="26" t="n">
        <x:v>4.9</x:v>
      </x:c>
      <x:c r="M12" s="29" t="n">
        <x:v>55</x:v>
      </x:c>
      <x:c r="N12" s="20" t="e">
        <x:f>HYPERLINK("https://www.euromar.com.br/","Abrir site")</x:f>
        <x:v>HYPERLINK is not implemented. linkLocation=https://www.euromar.com.br/, friendlyName=Abrir site</x:v>
      </x:c>
      <x:c r="O12" s="20" t="str">
        <x:v>SIM</x:v>
      </x:c>
      <x:c r="P12" s="20" t="str">
        <x:v>ACESSÍVEL</x:v>
      </x:c>
      <x:c r="Q12" s="32" t="n">
        <x:v>200</x:v>
      </x:c>
      <x:c r="R12" s="20" t="str">
        <x:v>SITE CONFIRMADO</x:v>
      </x:c>
      <x:c r="S12" s="20"/>
      <x:c r="T12" s="20"/>
      <x:c r="U12" s="20" t="str">
        <x:v>NÃO IDENTIFICADO</x:v>
      </x:c>
      <x:c r="V12" s="20" t="str">
        <x:v>NÃO IDENTIFICADO</x:v>
      </x:c>
      <x:c r="W12" s="20" t="str">
        <x:v>NÃO IDENTIFICADO</x:v>
      </x:c>
      <x:c r="X12" s="23" t="str">
        <x:v>Mármores, granitos, bancadas, pias e revestimentos (categoria pública; confirmar escopo diretamente).</x:v>
      </x:c>
      <x:c r="Y12" s="23" t="str">
        <x:v>Catálogo digital não identificado; ausência não confirmada. A captação pública encontrada privilegia telefone/diretório; há potencial de simplificar pedidos de orçamento.</x:v>
      </x:c>
      <x:c r="Z12" s="23" t="str">
        <x:v>Catálogo visual com pedido de orçamento. Formulário qualificado e integração com WhatsApp/CRM.</x:v>
      </x:c>
      <x:c r="AA12" s="23" t="str">
        <x:v>Apresentar um protótipo curto para marmorarias, destacar portfólio e orçamento no celular, e pedir confirmação do processo atual antes de afirmar qualquer problema interno.</x:v>
      </x:c>
      <x:c r="AB12" s="23" t="str">
        <x:v>Nome, endereço, telefone, localização e nota/avaliações publicadas como dados do Google na fonte setorial.</x:v>
      </x:c>
      <x:c r="AC12" s="35" t="n">
        <x:v>43</x:v>
      </x:c>
      <x:c r="AD12" s="23" t="str">
        <x:v>Prioridade C — Média</x:v>
      </x:c>
      <x:c r="AE12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2" s="23" t="e">
        <x:f>HYPERLINK("https://marmorebrasil.com.br/londrina/","Fonte 1")</x:f>
        <x:v>HYPERLINK is not implemented. linkLocation=https://marmorebrasil.com.br/londrina/, friendlyName=Fonte 1</x:v>
      </x:c>
      <x:c r="AG12" s="23" t="e">
        <x:f>HYPERLINK("https://marmorebrasil.com.br/londrina/euromar-marmores-e-granitos-distribuidora-atacadista/","Fonte 2")</x:f>
        <x:v>HYPERLINK is not implemented. linkLocation=https://marmorebrasil.com.br/londrina/euromar-marmores-e-granitos-distribuidora-atacadista/, friendlyName=Fonte 2</x:v>
      </x:c>
      <x:c r="AH12" s="23"/>
      <x:c r="AI12" s="38" t="d">
        <x:v>2026-10-18T15:00:00.000Z</x:v>
      </x:c>
      <x:c r="AJ12" s="20" t="str">
        <x:v>não contatado</x:v>
      </x:c>
      <x:c r="AK12" s="20" t="str"/>
      <x:c r="AL12" s="41" t="n">
        <x:v>-23.3072719</x:v>
      </x:c>
      <x:c r="AM12" s="41" t="n">
        <x:v>-51.1591529</x:v>
      </x:c>
    </x:row>
    <x:row r="13">
      <x:c r="A13" s="20" t="str">
        <x:v>bc9c1df2f43e</x:v>
      </x:c>
      <x:c r="B13" s="20" t="str">
        <x:v>Fábrica - Aliança Mármores</x:v>
      </x:c>
      <x:c r="C13" s="20" t="str">
        <x:v>Marmorarias</x:v>
      </x:c>
      <x:c r="D13" s="23" t="str">
        <x:v>R. das Corruíras, 640 - Parque das Indústrias Leves, Londrina - PR, 86030-310</x:v>
      </x:c>
      <x:c r="E13" s="23" t="str">
        <x:v>Parque das Indústrias Leves</x:v>
      </x:c>
      <x:c r="F13" s="20" t="str">
        <x:v>Londrina</x:v>
      </x:c>
      <x:c r="G13" s="20" t="str">
        <x:v>PR</x:v>
      </x:c>
      <x:c r="H13" s="20" t="str">
        <x:v>(43) 3336-7099</x:v>
      </x:c>
      <x:c r="I13" s="20" t="str">
        <x:v>NÃO IDENTIFICADO</x:v>
      </x:c>
      <x:c r="J13" s="20" t="str"/>
      <x:c r="K13" s="20" t="e">
        <x:f>HYPERLINK("https://www.google.com/maps/search/?api=1&amp;query=F%C3%A1brica+-+Alian%C3%A7a+M%C3%A1rmores+R.+das+Corru%C3%ADras%2C+640+-+Parque+das+Ind%C3%BAstrias+Leves%2C+Londrina+-+PR%2C+86030-310","Abrir mapa")</x:f>
        <x:v>HYPERLINK is not implemented. linkLocation=https://www.google.com/maps/search/?api=1&amp;query=F%C3%A1brica+-+Alian%C3%A7a+M%C3%A1rmores+R.+das+Corru%C3%ADras%2C+640+-+Parque+das+Ind%C3%BAstrias+Leves%2C+Londrina+-+PR%2C+86030-310, friendlyName=Abrir mapa</x:v>
      </x:c>
      <x:c r="L13" s="26" t="n">
        <x:v>4.5</x:v>
      </x:c>
      <x:c r="M13" s="29" t="n">
        <x:v>37</x:v>
      </x:c>
      <x:c r="N13" s="20" t="e">
        <x:f>HYPERLINK("http://www.aliancamarmores.com.br/","Abrir site")</x:f>
        <x:v>HYPERLINK is not implemented. linkLocation=http://www.aliancamarmores.com.br/, friendlyName=Abrir site</x:v>
      </x:c>
      <x:c r="O13" s="20" t="str">
        <x:v>SIM</x:v>
      </x:c>
      <x:c r="P13" s="20" t="str">
        <x:v>ACESSÍVEL</x:v>
      </x:c>
      <x:c r="Q13" s="32" t="n">
        <x:v>200</x:v>
      </x:c>
      <x:c r="R13" s="20" t="str">
        <x:v>SITE CONFIRMADO</x:v>
      </x:c>
      <x:c r="S13" s="20"/>
      <x:c r="T13" s="20"/>
      <x:c r="U13" s="20" t="str">
        <x:v>NÃO IDENTIFICADO</x:v>
      </x:c>
      <x:c r="V13" s="20" t="str">
        <x:v>NÃO IDENTIFICADO</x:v>
      </x:c>
      <x:c r="W13" s="20" t="str">
        <x:v>NÃO IDENTIFICADO</x:v>
      </x:c>
      <x:c r="X13" s="23" t="str">
        <x:v>Mármores, granitos, bancadas, pias e revestimentos (categoria pública; confirmar escopo diretamente).</x:v>
      </x:c>
      <x:c r="Y13" s="23" t="str">
        <x:v>Catálogo digital não identificado; ausência não confirmada. A captação pública encontrada privilegia telefone/diretório; há potencial de simplificar pedidos de orçamento.</x:v>
      </x:c>
      <x:c r="Z13" s="23" t="str">
        <x:v>Catálogo visual com pedido de orçamento. Formulário qualificado e integração com WhatsApp/CRM.</x:v>
      </x:c>
      <x:c r="AA13" s="23" t="str">
        <x:v>Apresentar um protótipo curto para marmorarias, destacar portfólio e orçamento no celular, e pedir confirmação do processo atual antes de afirmar qualquer problema interno.</x:v>
      </x:c>
      <x:c r="AB13" s="23" t="str">
        <x:v>Nome, endereço, telefone, localização e nota/avaliações publicadas como dados do Google na fonte setorial.</x:v>
      </x:c>
      <x:c r="AC13" s="35" t="n">
        <x:v>43</x:v>
      </x:c>
      <x:c r="AD13" s="23" t="str">
        <x:v>Prioridade C — Média</x:v>
      </x:c>
      <x:c r="AE13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3" s="23" t="e">
        <x:f>HYPERLINK("https://marmorebrasil.com.br/londrina/","Fonte 1")</x:f>
        <x:v>HYPERLINK is not implemented. linkLocation=https://marmorebrasil.com.br/londrina/, friendlyName=Fonte 1</x:v>
      </x:c>
      <x:c r="AG13" s="23" t="e">
        <x:f>HYPERLINK("https://marmorebrasil.com.br/londrina/fabrica-alianca-marmores/","Fonte 2")</x:f>
        <x:v>HYPERLINK is not implemented. linkLocation=https://marmorebrasil.com.br/londrina/fabrica-alianca-marmores/, friendlyName=Fonte 2</x:v>
      </x:c>
      <x:c r="AH13" s="23"/>
      <x:c r="AI13" s="38" t="d">
        <x:v>2026-10-18T15:00:00.000Z</x:v>
      </x:c>
      <x:c r="AJ13" s="20" t="str">
        <x:v>não contatado</x:v>
      </x:c>
      <x:c r="AK13" s="20" t="str"/>
      <x:c r="AL13" s="41" t="n">
        <x:v>-23.2913689</x:v>
      </x:c>
      <x:c r="AM13" s="41" t="n">
        <x:v>-51.1325865</x:v>
      </x:c>
    </x:row>
    <x:row r="14">
      <x:c r="A14" s="20" t="str">
        <x:v>a5359b39a626</x:v>
      </x:c>
      <x:c r="B14" s="20" t="str">
        <x:v>Gilmármore Marmoraria - Showroom</x:v>
      </x:c>
      <x:c r="C14" s="20" t="str">
        <x:v>Marmorarias</x:v>
      </x:c>
      <x:c r="D14" s="23" t="str">
        <x:v>Av. Maringá, 1257 - Vitoria, Londrina - PR, 86060-000</x:v>
      </x:c>
      <x:c r="E14" s="23" t="str">
        <x:v>Vitoria</x:v>
      </x:c>
      <x:c r="F14" s="20" t="str">
        <x:v>Londrina</x:v>
      </x:c>
      <x:c r="G14" s="20" t="str">
        <x:v>PR</x:v>
      </x:c>
      <x:c r="H14" s="20" t="str">
        <x:v>(43) 99111-3259</x:v>
      </x:c>
      <x:c r="I14" s="20" t="str">
        <x:v>NÃO IDENTIFICADO</x:v>
      </x:c>
      <x:c r="J14" s="20" t="str"/>
      <x:c r="K14" s="20" t="e">
        <x:f>HYPERLINK("https://www.google.com/maps/search/?api=1&amp;query=Gilm%C3%A1rmore+Marmoraria+-+Showroom+Av.+Maring%C3%A1%2C+1257+-+Vitoria%2C+Londrina+-+PR%2C+86060-000","Abrir mapa")</x:f>
        <x:v>HYPERLINK is not implemented. linkLocation=https://www.google.com/maps/search/?api=1&amp;query=Gilm%C3%A1rmore+Marmoraria+-+Showroom+Av.+Maring%C3%A1%2C+1257+-+Vitoria%2C+Londrina+-+PR%2C+86060-000, friendlyName=Abrir mapa</x:v>
      </x:c>
      <x:c r="L14" s="26" t="n">
        <x:v>4.6</x:v>
      </x:c>
      <x:c r="M14" s="29" t="n">
        <x:v>128</x:v>
      </x:c>
      <x:c r="N14" s="20" t="e">
        <x:f>HYPERLINK("https://gilmarmore.com.br/","Abrir site")</x:f>
        <x:v>HYPERLINK is not implemented. linkLocation=https://gilmarmore.com.br/, friendlyName=Abrir site</x:v>
      </x:c>
      <x:c r="O14" s="20" t="str">
        <x:v>SIM</x:v>
      </x:c>
      <x:c r="P14" s="20" t="str">
        <x:v>ACESSÍVEL</x:v>
      </x:c>
      <x:c r="Q14" s="32" t="n">
        <x:v>200</x:v>
      </x:c>
      <x:c r="R14" s="20" t="str">
        <x:v>SITE CONFIRMADO</x:v>
      </x:c>
      <x:c r="S14" s="20"/>
      <x:c r="T14" s="20"/>
      <x:c r="U14" s="20" t="str">
        <x:v>NÃO IDENTIFICADO</x:v>
      </x:c>
      <x:c r="V14" s="20" t="str">
        <x:v>NÃO IDENTIFICADO</x:v>
      </x:c>
      <x:c r="W14" s="20" t="str">
        <x:v>NÃO IDENTIFICADO</x:v>
      </x:c>
      <x:c r="X14" s="23" t="str">
        <x:v>Mármores, granitos, bancadas, pias e revestimentos (categoria pública; confirmar escopo diretamente).</x:v>
      </x:c>
      <x:c r="Y14" s="23" t="str">
        <x:v>Catálogo digital não identificado; ausência não confirmada. A captação pública encontrada privilegia telefone/diretório; há potencial de simplificar pedidos de orçamento.</x:v>
      </x:c>
      <x:c r="Z14" s="23" t="str">
        <x:v>Catálogo visual com pedido de orçamento. Formulário qualificado e integração com WhatsApp/CRM.</x:v>
      </x:c>
      <x:c r="AA14" s="23" t="str">
        <x:v>Apresentar um protótipo curto para marmorarias, destacar portfólio e orçamento no celular, e pedir confirmação do processo atual antes de afirmar qualquer problema interno.</x:v>
      </x:c>
      <x:c r="AB14" s="23" t="str">
        <x:v>Nome, endereço, telefone, localização e nota/avaliações publicadas como dados do Google na fonte setorial.</x:v>
      </x:c>
      <x:c r="AC14" s="35" t="n">
        <x:v>43</x:v>
      </x:c>
      <x:c r="AD14" s="23" t="str">
        <x:v>Prioridade C — Média</x:v>
      </x:c>
      <x:c r="AE14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4" s="23" t="e">
        <x:f>HYPERLINK("https://marmorebrasil.com.br/londrina/","Fonte 1")</x:f>
        <x:v>HYPERLINK is not implemented. linkLocation=https://marmorebrasil.com.br/londrina/, friendlyName=Fonte 1</x:v>
      </x:c>
      <x:c r="AG14" s="23" t="e">
        <x:f>HYPERLINK("https://marmorebrasil.com.br/londrina/gilmarmore-marmoraria-showroom/","Fonte 2")</x:f>
        <x:v>HYPERLINK is not implemented. linkLocation=https://marmorebrasil.com.br/londrina/gilmarmore-marmoraria-showroom/, friendlyName=Fonte 2</x:v>
      </x:c>
      <x:c r="AH14" s="23"/>
      <x:c r="AI14" s="38" t="d">
        <x:v>2026-10-18T15:00:00.000Z</x:v>
      </x:c>
      <x:c r="AJ14" s="20" t="str">
        <x:v>não contatado</x:v>
      </x:c>
      <x:c r="AK14" s="20" t="str"/>
      <x:c r="AL14" s="41" t="n">
        <x:v>-23.3127542</x:v>
      </x:c>
      <x:c r="AM14" s="41" t="n">
        <x:v>-51.1774271</x:v>
      </x:c>
    </x:row>
    <x:row r="15">
      <x:c r="A15" s="20" t="str">
        <x:v>927217e36566</x:v>
      </x:c>
      <x:c r="B15" s="20" t="str">
        <x:v>Gram Mar Marmoraria</x:v>
      </x:c>
      <x:c r="C15" s="20" t="str">
        <x:v>Marmorarias</x:v>
      </x:c>
      <x:c r="D15" s="23" t="str">
        <x:v>Rodovia Carlos João Strass, 4509 - Heimtal, Londrina - PR, 86084-460</x:v>
      </x:c>
      <x:c r="E15" s="23" t="str">
        <x:v>Heimtal</x:v>
      </x:c>
      <x:c r="F15" s="20" t="str">
        <x:v>Londrina</x:v>
      </x:c>
      <x:c r="G15" s="20" t="str">
        <x:v>PR</x:v>
      </x:c>
      <x:c r="H15" s="20" t="str">
        <x:v>(43) 99155-6996</x:v>
      </x:c>
      <x:c r="I15" s="20" t="str">
        <x:v>NÃO IDENTIFICADO</x:v>
      </x:c>
      <x:c r="J15" s="20" t="str"/>
      <x:c r="K15" s="20" t="e">
        <x:f>HYPERLINK("https://www.google.com/maps/search/?api=1&amp;query=Gram+Mar+Marmoraria+Rodovia+Carlos+Jo%C3%A3o+Strass%2C+4509+-+Heimtal%2C+Londrina+-+PR%2C+86084-460","Abrir mapa")</x:f>
        <x:v>HYPERLINK is not implemented. linkLocation=https://www.google.com/maps/search/?api=1&amp;query=Gram+Mar+Marmoraria+Rodovia+Carlos+Jo%C3%A3o+Strass%2C+4509+-+Heimtal%2C+Londrina+-+PR%2C+86084-460, friendlyName=Abrir mapa</x:v>
      </x:c>
      <x:c r="L15" s="26" t="n">
        <x:v>4.8</x:v>
      </x:c>
      <x:c r="M15" s="29" t="n">
        <x:v>76</x:v>
      </x:c>
      <x:c r="N15" s="20" t="e">
        <x:f>HYPERLINK("http://www.grammarmarmoraria.com.br/","Abrir site")</x:f>
        <x:v>HYPERLINK is not implemented. linkLocation=http://www.grammarmarmoraria.com.br/, friendlyName=Abrir site</x:v>
      </x:c>
      <x:c r="O15" s="20" t="str">
        <x:v>SIM</x:v>
      </x:c>
      <x:c r="P15" s="20" t="str">
        <x:v>INDISPONÍVEL NA VERIFICAÇÃO</x:v>
      </x:c>
      <x:c r="Q15" s="32"/>
      <x:c r="R15" s="20" t="str">
        <x:v>INCOMPLETA</x:v>
      </x:c>
      <x:c r="S15" s="20"/>
      <x:c r="T15" s="20"/>
      <x:c r="U15" s="20" t="str">
        <x:v>NÃO IDENTIFICADO</x:v>
      </x:c>
      <x:c r="V15" s="20" t="str">
        <x:v>NÃO IDENTIFICADO</x:v>
      </x:c>
      <x:c r="W15" s="20" t="str">
        <x:v>NÃO IDENTIFICADO</x:v>
      </x:c>
      <x:c r="X15" s="23" t="str">
        <x:v>Mármores, granitos, bancadas, pias e revestimentos (categoria pública; confirmar escopo diretamente).</x:v>
      </x:c>
      <x:c r="Y15" s="23" t="str">
        <x:v>Catálogo digital não identificado; ausência não confirmada. A captação pública encontrada privilegia telefone/diretório; há potencial de simplificar pedidos de orçamento.</x:v>
      </x:c>
      <x:c r="Z15" s="23" t="str">
        <x:v>Catálogo visual com pedido de orçamento. Formulário qualificado e integração com WhatsApp/CRM.</x:v>
      </x:c>
      <x:c r="AA15" s="23" t="str">
        <x:v>Apresentar um protótipo curto para marmorarias, destacar portfólio e orçamento no celular, e pedir confirmação do processo atual antes de afirmar qualquer problema interno.</x:v>
      </x:c>
      <x:c r="AB15" s="23" t="str">
        <x:v>Nome, endereço, telefone, localização e nota/avaliações publicadas como dados do Google na fonte setorial.</x:v>
      </x:c>
      <x:c r="AC15" s="35" t="n">
        <x:v>43</x:v>
      </x:c>
      <x:c r="AD15" s="23" t="str">
        <x:v>Prioridade C — Média</x:v>
      </x:c>
      <x:c r="AE15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5" s="23" t="e">
        <x:f>HYPERLINK("https://marmorebrasil.com.br/londrina/","Fonte 1")</x:f>
        <x:v>HYPERLINK is not implemented. linkLocation=https://marmorebrasil.com.br/londrina/, friendlyName=Fonte 1</x:v>
      </x:c>
      <x:c r="AG15" s="23" t="e">
        <x:f>HYPERLINK("https://marmorebrasil.com.br/londrina/gram-mar-marmoraria/","Fonte 2")</x:f>
        <x:v>HYPERLINK is not implemented. linkLocation=https://marmorebrasil.com.br/londrina/gram-mar-marmoraria/, friendlyName=Fonte 2</x:v>
      </x:c>
      <x:c r="AH15" s="23"/>
      <x:c r="AI15" s="38" t="d">
        <x:v>2026-10-18T15:00:00.000Z</x:v>
      </x:c>
      <x:c r="AJ15" s="20" t="str">
        <x:v>não contatado</x:v>
      </x:c>
      <x:c r="AK15" s="20" t="str"/>
      <x:c r="AL15" s="41" t="n">
        <x:v>-23.2557769</x:v>
      </x:c>
      <x:c r="AM15" s="41" t="n">
        <x:v>-51.1576617</x:v>
      </x:c>
    </x:row>
    <x:row r="16">
      <x:c r="A16" s="20" t="str">
        <x:v>bbbbed14a2fd</x:v>
      </x:c>
      <x:c r="B16" s="20" t="str">
        <x:v>Império do Mármore</x:v>
      </x:c>
      <x:c r="C16" s="20" t="str">
        <x:v>Marmorarias</x:v>
      </x:c>
      <x:c r="D16" s="23" t="str">
        <x:v>Av. Celso Garcia Cid, 2075 - Vila Siam, Londrina - PR, 86039-000</x:v>
      </x:c>
      <x:c r="E16" s="23" t="str">
        <x:v>Vila Siam</x:v>
      </x:c>
      <x:c r="F16" s="20" t="str">
        <x:v>Londrina</x:v>
      </x:c>
      <x:c r="G16" s="20" t="str">
        <x:v>PR</x:v>
      </x:c>
      <x:c r="H16" s="20" t="str">
        <x:v>(43) 3337-4545</x:v>
      </x:c>
      <x:c r="I16" s="20" t="str">
        <x:v>NÃO IDENTIFICADO</x:v>
      </x:c>
      <x:c r="J16" s="20" t="str"/>
      <x:c r="K16" s="20" t="e">
        <x:f>HYPERLINK("https://www.google.com/maps/search/?api=1&amp;query=Imp%C3%A9rio+do+M%C3%A1rmore+Av.+Celso+Garcia+Cid%2C+2075+-+Vila+Siam%2C+Londrina+-+PR%2C+86039-000","Abrir mapa")</x:f>
        <x:v>HYPERLINK is not implemented. linkLocation=https://www.google.com/maps/search/?api=1&amp;query=Imp%C3%A9rio+do+M%C3%A1rmore+Av.+Celso+Garcia+Cid%2C+2075+-+Vila+Siam%2C+Londrina+-+PR%2C+86039-000, friendlyName=Abrir mapa</x:v>
      </x:c>
      <x:c r="L16" s="26" t="n">
        <x:v>4</x:v>
      </x:c>
      <x:c r="M16" s="29" t="n">
        <x:v>49</x:v>
      </x:c>
      <x:c r="N16" s="20" t="e">
        <x:f>HYPERLINK("http://www.imperiodomarmore.com.br/","Abrir site")</x:f>
        <x:v>HYPERLINK is not implemented. linkLocation=http://www.imperiodomarmore.com.br/, friendlyName=Abrir site</x:v>
      </x:c>
      <x:c r="O16" s="20" t="str">
        <x:v>SIM</x:v>
      </x:c>
      <x:c r="P16" s="20" t="str">
        <x:v>INDISPONÍVEL NA VERIFICAÇÃO</x:v>
      </x:c>
      <x:c r="Q16" s="32"/>
      <x:c r="R16" s="20" t="str">
        <x:v>INCOMPLETA</x:v>
      </x:c>
      <x:c r="S16" s="20" t="e">
        <x:f>HYPERLINK("https://www.instagram.com/imperiodomarmore_londrina/","Instagram")</x:f>
        <x:v>HYPERLINK is not implemented. linkLocation=https://www.instagram.com/imperiodomarmore_londrina/, friendlyName=Instagram</x:v>
      </x:c>
      <x:c r="T16" s="20"/>
      <x:c r="U16" s="20" t="str">
        <x:v>NÃO IDENTIFICADO</x:v>
      </x:c>
      <x:c r="V16" s="20" t="str">
        <x:v>NÃO IDENTIFICADO</x:v>
      </x:c>
      <x:c r="W16" s="20" t="str">
        <x:v>NÃO IDENTIFICADO</x:v>
      </x:c>
      <x:c r="X16" s="23" t="str">
        <x:v>Mármores, granitos, bancadas, pias e revestimentos (categoria pública; confirmar escopo diretamente).</x:v>
      </x:c>
      <x:c r="Y16" s="23" t="str">
        <x:v>Catálogo digital não identificado; ausência não confirmada. A captação pública encontrada privilegia telefone/diretório; há potencial de simplificar pedidos de orçamento.</x:v>
      </x:c>
      <x:c r="Z16" s="23" t="str">
        <x:v>Catálogo visual com pedido de orçamento. Formulário qualificado e integração com WhatsApp/CRM.</x:v>
      </x:c>
      <x:c r="AA16" s="23" t="str">
        <x:v>Apresentar um protótipo curto para marmorarias, destacar portfólio e orçamento no celular, e pedir confirmação do processo atual antes de afirmar qualquer problema interno.</x:v>
      </x:c>
      <x:c r="AB16" s="23" t="str">
        <x:v>Nome, endereço, telefone, localização e nota/avaliações publicadas como dados do Google na fonte setorial.</x:v>
      </x:c>
      <x:c r="AC16" s="35" t="n">
        <x:v>43</x:v>
      </x:c>
      <x:c r="AD16" s="23" t="str">
        <x:v>Prioridade C — Média</x:v>
      </x:c>
      <x:c r="AE16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6" s="23" t="e">
        <x:f>HYPERLINK("https://marmorebrasil.com.br/londrina/","Fonte 1")</x:f>
        <x:v>HYPERLINK is not implemented. linkLocation=https://marmorebrasil.com.br/londrina/, friendlyName=Fonte 1</x:v>
      </x:c>
      <x:c r="AG16" s="23" t="e">
        <x:f>HYPERLINK("https://marmorebrasil.com.br/londrina/imperio-do-marmore/","Fonte 2")</x:f>
        <x:v>HYPERLINK is not implemented. linkLocation=https://marmorebrasil.com.br/londrina/imperio-do-marmore/, friendlyName=Fonte 2</x:v>
      </x:c>
      <x:c r="AH16" s="23" t="e">
        <x:f>HYPERLINK("https://www.yellowpages.net/phone-55-4333374545-marble-supplier-Londrina-BREN108430.html","Fonte 3")</x:f>
        <x:v>HYPERLINK is not implemented. linkLocation=https://www.yellowpages.net/phone-55-4333374545-marble-supplier-Londrina-BREN108430.html, friendlyName=Fonte 3</x:v>
      </x:c>
      <x:c r="AI16" s="38" t="d">
        <x:v>2026-10-18T15:00:00.000Z</x:v>
      </x:c>
      <x:c r="AJ16" s="20" t="str">
        <x:v>não contatado</x:v>
      </x:c>
      <x:c r="AK16" s="20" t="str"/>
      <x:c r="AL16" s="41" t="n">
        <x:v>-23.3164274</x:v>
      </x:c>
      <x:c r="AM16" s="41" t="n">
        <x:v>-51.1382628</x:v>
      </x:c>
    </x:row>
    <x:row r="17">
      <x:c r="A17" s="20" t="str">
        <x:v>e1ce92b29da9</x:v>
      </x:c>
      <x:c r="B17" s="20" t="str">
        <x:v>Loja do Mármore</x:v>
      </x:c>
      <x:c r="C17" s="20" t="str">
        <x:v>Marmorarias</x:v>
      </x:c>
      <x:c r="D17" s="23" t="str">
        <x:v>Rod. Celso Garcia Cid, 315 - Sabará, Londrina - PR, 86066-230</x:v>
      </x:c>
      <x:c r="E17" s="23" t="str">
        <x:v>Sabará</x:v>
      </x:c>
      <x:c r="F17" s="20" t="str">
        <x:v>Londrina</x:v>
      </x:c>
      <x:c r="G17" s="20" t="str">
        <x:v>PR</x:v>
      </x:c>
      <x:c r="H17" s="20" t="str">
        <x:v>(43) 3337-6354</x:v>
      </x:c>
      <x:c r="I17" s="20" t="str">
        <x:v>NÃO IDENTIFICADO</x:v>
      </x:c>
      <x:c r="J17" s="20" t="str"/>
      <x:c r="K17" s="20" t="e">
        <x:f>HYPERLINK("https://www.google.com/maps/search/?api=1&amp;query=Loja+do+M%C3%A1rmore+Rod.+Celso+Garcia+Cid%2C+315+-+Sabar%C3%A1%2C+Londrina+-+PR%2C+86066-230","Abrir mapa")</x:f>
        <x:v>HYPERLINK is not implemented. linkLocation=https://www.google.com/maps/search/?api=1&amp;query=Loja+do+M%C3%A1rmore+Rod.+Celso+Garcia+Cid%2C+315+-+Sabar%C3%A1%2C+Londrina+-+PR%2C+86066-230, friendlyName=Abrir mapa</x:v>
      </x:c>
      <x:c r="L17" s="26" t="n">
        <x:v>4.8</x:v>
      </x:c>
      <x:c r="M17" s="29" t="n">
        <x:v>59</x:v>
      </x:c>
      <x:c r="N17" s="20" t="e">
        <x:f>HYPERLINK("http://lojadomarmorelondrina.com.br/","Abrir site")</x:f>
        <x:v>HYPERLINK is not implemented. linkLocation=http://lojadomarmorelondrina.com.br/, friendlyName=Abrir site</x:v>
      </x:c>
      <x:c r="O17" s="20" t="str">
        <x:v>SIM</x:v>
      </x:c>
      <x:c r="P17" s="20" t="str">
        <x:v>INDISPONÍVEL NA VERIFICAÇÃO</x:v>
      </x:c>
      <x:c r="Q17" s="32"/>
      <x:c r="R17" s="20" t="str">
        <x:v>INCOMPLETA</x:v>
      </x:c>
      <x:c r="S17" s="20" t="e">
        <x:f>HYPERLINK("https://instagram.com/lojadomarmoreoficial?igshid=YmMyMTA2M2Y=","Instagram")</x:f>
        <x:v>HYPERLINK is not implemented. linkLocation=https://instagram.com/lojadomarmoreoficial?igshid=YmMyMTA2M2Y=, friendlyName=Instagram</x:v>
      </x:c>
      <x:c r="T17" s="20"/>
      <x:c r="U17" s="20" t="str">
        <x:v>NÃO IDENTIFICADO</x:v>
      </x:c>
      <x:c r="V17" s="20" t="str">
        <x:v>NÃO IDENTIFICADO</x:v>
      </x:c>
      <x:c r="W17" s="20" t="str">
        <x:v>NÃO IDENTIFICADO</x:v>
      </x:c>
      <x:c r="X17" s="23" t="str">
        <x:v>Mármores, granitos, bancadas, pias e revestimentos (categoria pública; confirmar escopo diretamente).</x:v>
      </x:c>
      <x:c r="Y17" s="23" t="str">
        <x:v>Catálogo digital não identificado; ausência não confirmada. A captação pública encontrada privilegia telefone/diretório; há potencial de simplificar pedidos de orçamento.</x:v>
      </x:c>
      <x:c r="Z17" s="23" t="str">
        <x:v>Catálogo visual com pedido de orçamento. Formulário qualificado e integração com WhatsApp/CRM.</x:v>
      </x:c>
      <x:c r="AA17" s="23" t="str">
        <x:v>Apresentar um protótipo curto para marmorarias, destacar portfólio e orçamento no celular, e pedir confirmação do processo atual antes de afirmar qualquer problema interno.</x:v>
      </x:c>
      <x:c r="AB17" s="23" t="str">
        <x:v>Nome, endereço, telefone, localização e nota/avaliações publicadas como dados do Google na fonte setorial.</x:v>
      </x:c>
      <x:c r="AC17" s="35" t="n">
        <x:v>43</x:v>
      </x:c>
      <x:c r="AD17" s="23" t="str">
        <x:v>Prioridade C — Média</x:v>
      </x:c>
      <x:c r="AE17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7" s="23" t="e">
        <x:f>HYPERLINK("https://marmorebrasil.com.br/londrina/","Fonte 1")</x:f>
        <x:v>HYPERLINK is not implemented. linkLocation=https://marmorebrasil.com.br/londrina/, friendlyName=Fonte 1</x:v>
      </x:c>
      <x:c r="AG17" s="23" t="e">
        <x:f>HYPERLINK("https://marmorebrasil.com.br/londrina/loja-do-marmore/","Fonte 2")</x:f>
        <x:v>HYPERLINK is not implemented. linkLocation=https://marmorebrasil.com.br/londrina/loja-do-marmore/, friendlyName=Fonte 2</x:v>
      </x:c>
      <x:c r="AH17" s="23" t="e">
        <x:f>HYPERLINK("https://www.guiaking.com.br/empresa/loja%2Bdo%2Bmarmore_londrina_pr_597705.html","Fonte 3")</x:f>
        <x:v>HYPERLINK is not implemented. linkLocation=https://www.guiaking.com.br/empresa/loja%2Bdo%2Bmarmore_londrina_pr_597705.html, friendlyName=Fonte 3</x:v>
      </x:c>
      <x:c r="AI17" s="38" t="d">
        <x:v>2026-10-18T15:00:00.000Z</x:v>
      </x:c>
      <x:c r="AJ17" s="20" t="str">
        <x:v>não contatado</x:v>
      </x:c>
      <x:c r="AK17" s="20" t="str"/>
      <x:c r="AL17" s="41" t="n">
        <x:v>-23.3135135</x:v>
      </x:c>
      <x:c r="AM17" s="41" t="n">
        <x:v>-51.2141158</x:v>
      </x:c>
    </x:row>
    <x:row r="18">
      <x:c r="A18" s="20" t="str">
        <x:v>a4fb30f6b624</x:v>
      </x:c>
      <x:c r="B18" s="20" t="str">
        <x:v>Londrigran Marmoraria - Marmoraria em Londrina</x:v>
      </x:c>
      <x:c r="C18" s="20" t="str">
        <x:v>Marmorarias</x:v>
      </x:c>
      <x:c r="D18" s="23" t="str">
        <x:v>R. André Betti, 75 - Jardim Marissol, Londrina - PR, 86030-495</x:v>
      </x:c>
      <x:c r="E18" s="23" t="str">
        <x:v>Jardim Marissol</x:v>
      </x:c>
      <x:c r="F18" s="20" t="str">
        <x:v>Londrina</x:v>
      </x:c>
      <x:c r="G18" s="20" t="str">
        <x:v>PR</x:v>
      </x:c>
      <x:c r="H18" s="20" t="str">
        <x:v>(43) 99137-7321</x:v>
      </x:c>
      <x:c r="I18" s="20" t="str">
        <x:v>NÃO IDENTIFICADO</x:v>
      </x:c>
      <x:c r="J18" s="20" t="str"/>
      <x:c r="K18" s="20" t="e">
        <x:f>HYPERLINK("https://www.google.com/maps/search/?api=1&amp;query=Londrigran+Marmoraria+-+Marmoraria+em+Londrina+R.+Andr%C3%A9+Betti%2C+75+-+Jardim+Marissol%2C+Londrina+-+PR%2C+86030-495","Abrir mapa")</x:f>
        <x:v>HYPERLINK is not implemented. linkLocation=https://www.google.com/maps/search/?api=1&amp;query=Londrigran+Marmoraria+-+Marmoraria+em+Londrina+R.+Andr%C3%A9+Betti%2C+75+-+Jardim+Marissol%2C+Londrina+-+PR%2C+86030-495, friendlyName=Abrir mapa</x:v>
      </x:c>
      <x:c r="L18" s="26" t="n">
        <x:v>4.5</x:v>
      </x:c>
      <x:c r="M18" s="29" t="n">
        <x:v>42</x:v>
      </x:c>
      <x:c r="N18" s="20" t="e">
        <x:f>HYPERLINK("https://londrigranmarmoraria.com.br/","Abrir site")</x:f>
        <x:v>HYPERLINK is not implemented. linkLocation=https://londrigranmarmoraria.com.br/, friendlyName=Abrir site</x:v>
      </x:c>
      <x:c r="O18" s="20" t="str">
        <x:v>SIM</x:v>
      </x:c>
      <x:c r="P18" s="20" t="str">
        <x:v>ACESSÍVEL</x:v>
      </x:c>
      <x:c r="Q18" s="32" t="n">
        <x:v>200</x:v>
      </x:c>
      <x:c r="R18" s="20" t="str">
        <x:v>SITE CONFIRMADO</x:v>
      </x:c>
      <x:c r="S18" s="20"/>
      <x:c r="T18" s="20"/>
      <x:c r="U18" s="20" t="str">
        <x:v>NÃO IDENTIFICADO</x:v>
      </x:c>
      <x:c r="V18" s="20" t="str">
        <x:v>NÃO IDENTIFICADO</x:v>
      </x:c>
      <x:c r="W18" s="20" t="str">
        <x:v>NÃO IDENTIFICADO</x:v>
      </x:c>
      <x:c r="X18" s="23" t="str">
        <x:v>Mármores, granitos, bancadas, pias e revestimentos (categoria pública; confirmar escopo diretamente).</x:v>
      </x:c>
      <x:c r="Y18" s="23" t="str">
        <x:v>Catálogo digital não identificado; ausência não confirmada. A captação pública encontrada privilegia telefone/diretório; há potencial de simplificar pedidos de orçamento.</x:v>
      </x:c>
      <x:c r="Z18" s="23" t="str">
        <x:v>Catálogo visual com pedido de orçamento. Formulário qualificado e integração com WhatsApp/CRM.</x:v>
      </x:c>
      <x:c r="AA18" s="23" t="str">
        <x:v>Apresentar um protótipo curto para marmorarias, destacar portfólio e orçamento no celular, e pedir confirmação do processo atual antes de afirmar qualquer problema interno.</x:v>
      </x:c>
      <x:c r="AB18" s="23" t="str">
        <x:v>Nome, endereço, telefone, localização e nota/avaliações publicadas como dados do Google na fonte setorial.</x:v>
      </x:c>
      <x:c r="AC18" s="35" t="n">
        <x:v>43</x:v>
      </x:c>
      <x:c r="AD18" s="23" t="str">
        <x:v>Prioridade C — Média</x:v>
      </x:c>
      <x:c r="AE18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8" s="23" t="e">
        <x:f>HYPERLINK("https://marmorebrasil.com.br/londrina/","Fonte 1")</x:f>
        <x:v>HYPERLINK is not implemented. linkLocation=https://marmorebrasil.com.br/londrina/, friendlyName=Fonte 1</x:v>
      </x:c>
      <x:c r="AG18" s="23" t="e">
        <x:f>HYPERLINK("https://marmorebrasil.com.br/londrina/londrigran-marmoraria-marmoraria-em-londrina/","Fonte 2")</x:f>
        <x:v>HYPERLINK is not implemented. linkLocation=https://marmorebrasil.com.br/londrina/londrigran-marmoraria-marmoraria-em-londrina/, friendlyName=Fonte 2</x:v>
      </x:c>
      <x:c r="AH18" s="23"/>
      <x:c r="AI18" s="38" t="d">
        <x:v>2026-10-18T15:00:00.000Z</x:v>
      </x:c>
      <x:c r="AJ18" s="20" t="str">
        <x:v>não contatado</x:v>
      </x:c>
      <x:c r="AK18" s="20" t="str"/>
      <x:c r="AL18" s="41" t="n">
        <x:v>-23.2936231</x:v>
      </x:c>
      <x:c r="AM18" s="41" t="n">
        <x:v>-51.12252</x:v>
      </x:c>
    </x:row>
    <x:row r="19">
      <x:c r="A19" s="20" t="str">
        <x:v>d4343ee80738</x:v>
      </x:c>
      <x:c r="B19" s="20" t="str">
        <x:v>MARMORARIA E-JET LONDRINA E REGIÃO</x:v>
      </x:c>
      <x:c r="C19" s="20" t="str">
        <x:v>Marmorarias</x:v>
      </x:c>
      <x:c r="D19" s="23" t="str">
        <x:v>R. André Betti, 425 - Jardim Marissol, Londrina - PR, 86030-495</x:v>
      </x:c>
      <x:c r="E19" s="23" t="str">
        <x:v>Jardim Marissol</x:v>
      </x:c>
      <x:c r="F19" s="20" t="str">
        <x:v>Londrina</x:v>
      </x:c>
      <x:c r="G19" s="20" t="str">
        <x:v>PR</x:v>
      </x:c>
      <x:c r="H19" s="20" t="str">
        <x:v>(43) 99618-0263</x:v>
      </x:c>
      <x:c r="I19" s="20" t="str">
        <x:v>NÃO IDENTIFICADO</x:v>
      </x:c>
      <x:c r="J19" s="20" t="str"/>
      <x:c r="K19" s="20" t="e">
        <x:f>HYPERLINK("https://www.google.com/maps/search/?api=1&amp;query=MARMORARIA+E-JET+LONDRINA+E+REGI%C3%83O+R.+Andr%C3%A9+Betti%2C+425+-+Jardim+Marissol%2C+Londrina+-+PR%2C+86030-495","Abrir mapa")</x:f>
        <x:v>HYPERLINK is not implemented. linkLocation=https://www.google.com/maps/search/?api=1&amp;query=MARMORARIA+E-JET+LONDRINA+E+REGI%C3%83O+R.+Andr%C3%A9+Betti%2C+425+-+Jardim+Marissol%2C+Londrina+-+PR%2C+86030-495, friendlyName=Abrir mapa</x:v>
      </x:c>
      <x:c r="L19" s="26" t="n">
        <x:v>4.7</x:v>
      </x:c>
      <x:c r="M19" s="29" t="n">
        <x:v>58</x:v>
      </x:c>
      <x:c r="N19" s="20" t="e">
        <x:f>HYPERLINK("https://ejetmarmoraria.my.canva.site/","Abrir site")</x:f>
        <x:v>HYPERLINK is not implemented. linkLocation=https://ejetmarmoraria.my.canva.site/, friendlyName=Abrir site</x:v>
      </x:c>
      <x:c r="O19" s="20" t="str">
        <x:v>SIM</x:v>
      </x:c>
      <x:c r="P19" s="20" t="str">
        <x:v>ACESSÍVEL</x:v>
      </x:c>
      <x:c r="Q19" s="32" t="n">
        <x:v>200</x:v>
      </x:c>
      <x:c r="R19" s="20" t="str">
        <x:v>SITE CONFIRMADO</x:v>
      </x:c>
      <x:c r="S19" s="20"/>
      <x:c r="T19" s="20"/>
      <x:c r="U19" s="20" t="str">
        <x:v>NÃO IDENTIFICADO</x:v>
      </x:c>
      <x:c r="V19" s="20" t="str">
        <x:v>NÃO IDENTIFICADO</x:v>
      </x:c>
      <x:c r="W19" s="20" t="str">
        <x:v>NÃO IDENTIFICADO</x:v>
      </x:c>
      <x:c r="X19" s="23" t="str">
        <x:v>Mármores, granitos, bancadas, pias e revestimentos (categoria pública; confirmar escopo diretamente).</x:v>
      </x:c>
      <x:c r="Y19" s="23" t="str">
        <x:v>Catálogo digital não identificado; ausência não confirmada. A captação pública encontrada privilegia telefone/diretório; há potencial de simplificar pedidos de orçamento.</x:v>
      </x:c>
      <x:c r="Z19" s="23" t="str">
        <x:v>Catálogo visual com pedido de orçamento. Formulário qualificado e integração com WhatsApp/CRM.</x:v>
      </x:c>
      <x:c r="AA19" s="23" t="str">
        <x:v>Apresentar um protótipo curto para marmorarias, destacar portfólio e orçamento no celular, e pedir confirmação do processo atual antes de afirmar qualquer problema interno.</x:v>
      </x:c>
      <x:c r="AB19" s="23" t="str">
        <x:v>Nome, endereço, telefone, localização e nota/avaliações publicadas como dados do Google na fonte setorial.</x:v>
      </x:c>
      <x:c r="AC19" s="35" t="n">
        <x:v>43</x:v>
      </x:c>
      <x:c r="AD19" s="23" t="str">
        <x:v>Prioridade C — Média</x:v>
      </x:c>
      <x:c r="AE19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19" s="23" t="e">
        <x:f>HYPERLINK("https://marmorebrasil.com.br/londrina/","Fonte 1")</x:f>
        <x:v>HYPERLINK is not implemented. linkLocation=https://marmorebrasil.com.br/londrina/, friendlyName=Fonte 1</x:v>
      </x:c>
      <x:c r="AG19" s="23" t="e">
        <x:f>HYPERLINK("https://marmorebrasil.com.br/londrina/marmoraria-e-jet-londrina-e-regiao/","Fonte 2")</x:f>
        <x:v>HYPERLINK is not implemented. linkLocation=https://marmorebrasil.com.br/londrina/marmoraria-e-jet-londrina-e-regiao/, friendlyName=Fonte 2</x:v>
      </x:c>
      <x:c r="AH19" s="23"/>
      <x:c r="AI19" s="38" t="d">
        <x:v>2026-10-18T15:00:00.000Z</x:v>
      </x:c>
      <x:c r="AJ19" s="20" t="str">
        <x:v>não contatado</x:v>
      </x:c>
      <x:c r="AK19" s="20" t="str"/>
      <x:c r="AL19" s="41" t="n">
        <x:v>-23.293721</x:v>
      </x:c>
      <x:c r="AM19" s="41" t="n">
        <x:v>-51.118962</x:v>
      </x:c>
    </x:row>
    <x:row r="20">
      <x:c r="A20" s="20" t="str">
        <x:v>9c9059d58b22</x:v>
      </x:c>
      <x:c r="B20" s="20" t="str">
        <x:v>Marmoraria Artegran - Londrina.</x:v>
      </x:c>
      <x:c r="C20" s="20" t="str">
        <x:v>Marmorarias</x:v>
      </x:c>
      <x:c r="D20" s="23" t="str">
        <x:v>Rod. Celso Garcia Cid, 1677 Jardim - Portal de Versalhes I, Londrina - PR, 86057-250</x:v>
      </x:c>
      <x:c r="E20" s="23" t="str">
        <x:v>Portal de Versalhes I</x:v>
      </x:c>
      <x:c r="F20" s="20" t="str">
        <x:v>Londrina</x:v>
      </x:c>
      <x:c r="G20" s="20" t="str">
        <x:v>PR</x:v>
      </x:c>
      <x:c r="H20" s="20" t="str">
        <x:v>(43) 3347-0001</x:v>
      </x:c>
      <x:c r="I20" s="20" t="str">
        <x:v>NÃO IDENTIFICADO</x:v>
      </x:c>
      <x:c r="J20" s="20" t="str"/>
      <x:c r="K20" s="20" t="e">
        <x:f>HYPERLINK("https://www.google.com/maps/search/?api=1&amp;query=Marmoraria+Artegran+-+Londrina.+Rod.+Celso+Garcia+Cid%2C+1677+Jardim+-+Portal+de+Versalhes+I%2C+Londrina+-+PR%2C+86057-250","Abrir mapa")</x:f>
        <x:v>HYPERLINK is not implemented. linkLocation=https://www.google.com/maps/search/?api=1&amp;query=Marmoraria+Artegran+-+Londrina.+Rod.+Celso+Garcia+Cid%2C+1677+Jardim+-+Portal+de+Versalhes+I%2C+Londrina+-+PR%2C+86057-250, friendlyName=Abrir mapa</x:v>
      </x:c>
      <x:c r="L20" s="26" t="n">
        <x:v>4.3</x:v>
      </x:c>
      <x:c r="M20" s="29" t="n">
        <x:v>39</x:v>
      </x:c>
      <x:c r="N20" s="20" t="e">
        <x:f>HYPERLINK("https://artegran.com.br/","Abrir site")</x:f>
        <x:v>HYPERLINK is not implemented. linkLocation=https://artegran.com.br/, friendlyName=Abrir site</x:v>
      </x:c>
      <x:c r="O20" s="20" t="str">
        <x:v>SIM</x:v>
      </x:c>
      <x:c r="P20" s="20" t="str">
        <x:v>ACESSÍVEL</x:v>
      </x:c>
      <x:c r="Q20" s="32" t="n">
        <x:v>200</x:v>
      </x:c>
      <x:c r="R20" s="20" t="str">
        <x:v>SITE CONFIRMADO</x:v>
      </x:c>
      <x:c r="S20" s="20"/>
      <x:c r="T20" s="20"/>
      <x:c r="U20" s="20" t="str">
        <x:v>NÃO IDENTIFICADO</x:v>
      </x:c>
      <x:c r="V20" s="20" t="str">
        <x:v>NÃO IDENTIFICADO</x:v>
      </x:c>
      <x:c r="W20" s="20" t="str">
        <x:v>NÃO IDENTIFICADO</x:v>
      </x:c>
      <x:c r="X20" s="23" t="str">
        <x:v>Mármores, granitos, bancadas, pias e revestimentos (categoria pública; confirmar escopo diretamente).</x:v>
      </x:c>
      <x:c r="Y20" s="23" t="str">
        <x:v>Catálogo digital não identificado; ausência não confirmada. A captação pública encontrada privilegia telefone/diretório; há potencial de simplificar pedidos de orçamento.</x:v>
      </x:c>
      <x:c r="Z20" s="23" t="str">
        <x:v>Catálogo visual com pedido de orçamento. Formulário qualificado e integração com WhatsApp/CRM.</x:v>
      </x:c>
      <x:c r="AA20" s="23" t="str">
        <x:v>Apresentar um protótipo curto para marmorarias, destacar portfólio e orçamento no celular, e pedir confirmação do processo atual antes de afirmar qualquer problema interno.</x:v>
      </x:c>
      <x:c r="AB20" s="23" t="str">
        <x:v>Nome, endereço, telefone, localização e nota/avaliações publicadas como dados do Google na fonte setorial.</x:v>
      </x:c>
      <x:c r="AC20" s="35" t="n">
        <x:v>43</x:v>
      </x:c>
      <x:c r="AD20" s="23" t="str">
        <x:v>Prioridade C — Média</x:v>
      </x:c>
      <x:c r="AE20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20" s="23" t="e">
        <x:f>HYPERLINK("https://marmorebrasil.com.br/londrina/","Fonte 1")</x:f>
        <x:v>HYPERLINK is not implemented. linkLocation=https://marmorebrasil.com.br/londrina/, friendlyName=Fonte 1</x:v>
      </x:c>
      <x:c r="AG20" s="23" t="e">
        <x:f>HYPERLINK("https://marmorebrasil.com.br/londrina/marmoraria-artegran-londrina/","Fonte 2")</x:f>
        <x:v>HYPERLINK is not implemented. linkLocation=https://marmorebrasil.com.br/londrina/marmoraria-artegran-londrina/, friendlyName=Fonte 2</x:v>
      </x:c>
      <x:c r="AH20" s="23"/>
      <x:c r="AI20" s="38" t="d">
        <x:v>2026-10-18T15:00:00.000Z</x:v>
      </x:c>
      <x:c r="AJ20" s="20" t="str">
        <x:v>não contatado</x:v>
      </x:c>
      <x:c r="AK20" s="20" t="str"/>
      <x:c r="AL20" s="41" t="n">
        <x:v>-23.3205954</x:v>
      </x:c>
      <x:c r="AM20" s="41" t="n">
        <x:v>-51.2048428</x:v>
      </x:c>
    </x:row>
    <x:row r="21">
      <x:c r="A21" s="20" t="str">
        <x:v>a7af48e2dc5f</x:v>
      </x:c>
      <x:c r="B21" s="20" t="str">
        <x:v>Marmoraria Leblon</x:v>
      </x:c>
      <x:c r="C21" s="20" t="str">
        <x:v>Marmorarias</x:v>
      </x:c>
      <x:c r="D21" s="23" t="str">
        <x:v>Rodovia Carlos João Strass, 4519 - Heimtal, Londrina - PR, 86084-150</x:v>
      </x:c>
      <x:c r="E21" s="23" t="str">
        <x:v>Heimtal</x:v>
      </x:c>
      <x:c r="F21" s="20" t="str">
        <x:v>Londrina</x:v>
      </x:c>
      <x:c r="G21" s="20" t="str">
        <x:v>PR</x:v>
      </x:c>
      <x:c r="H21" s="20" t="str">
        <x:v>(43) 3329-9002</x:v>
      </x:c>
      <x:c r="I21" s="20" t="str">
        <x:v>NÃO IDENTIFICADO</x:v>
      </x:c>
      <x:c r="J21" s="20" t="str"/>
      <x:c r="K21" s="20" t="e">
        <x:f>HYPERLINK("https://www.google.com/maps/search/?api=1&amp;query=Marmoraria+Leblon+Rodovia+Carlos+Jo%C3%A3o+Strass%2C+4519+-+Heimtal%2C+Londrina+-+PR%2C+86084-150","Abrir mapa")</x:f>
        <x:v>HYPERLINK is not implemented. linkLocation=https://www.google.com/maps/search/?api=1&amp;query=Marmoraria+Leblon+Rodovia+Carlos+Jo%C3%A3o+Strass%2C+4519+-+Heimtal%2C+Londrina+-+PR%2C+86084-150, friendlyName=Abrir mapa</x:v>
      </x:c>
      <x:c r="L21" s="26" t="n">
        <x:v>4.5</x:v>
      </x:c>
      <x:c r="M21" s="29" t="n">
        <x:v>52</x:v>
      </x:c>
      <x:c r="N21" s="20" t="e">
        <x:f>HYPERLINK("http://marmorarialeblonlondrina.com.br/","Abrir site")</x:f>
        <x:v>HYPERLINK is not implemented. linkLocation=http://marmorarialeblonlondrina.com.br/, friendlyName=Abrir site</x:v>
      </x:c>
      <x:c r="O21" s="20" t="str">
        <x:v>SIM</x:v>
      </x:c>
      <x:c r="P21" s="20" t="str">
        <x:v>INDISPONÍVEL NA VERIFICAÇÃO</x:v>
      </x:c>
      <x:c r="Q21" s="32"/>
      <x:c r="R21" s="20" t="str">
        <x:v>INCOMPLETA</x:v>
      </x:c>
      <x:c r="S21" s="20"/>
      <x:c r="T21" s="20"/>
      <x:c r="U21" s="20" t="str">
        <x:v>NÃO IDENTIFICADO</x:v>
      </x:c>
      <x:c r="V21" s="20" t="str">
        <x:v>NÃO IDENTIFICADO</x:v>
      </x:c>
      <x:c r="W21" s="20" t="str">
        <x:v>NÃO IDENTIFICADO</x:v>
      </x:c>
      <x:c r="X21" s="23" t="str">
        <x:v>Mármores, granitos, bancadas, pias e revestimentos (categoria pública; confirmar escopo diretamente).</x:v>
      </x:c>
      <x:c r="Y21" s="23" t="str">
        <x:v>Catálogo digital não identificado; ausência não confirmada. A captação pública encontrada privilegia telefone/diretório; há potencial de simplificar pedidos de orçamento.</x:v>
      </x:c>
      <x:c r="Z21" s="23" t="str">
        <x:v>Catálogo visual com pedido de orçamento. Formulário qualificado e integração com WhatsApp/CRM.</x:v>
      </x:c>
      <x:c r="AA21" s="23" t="str">
        <x:v>Apresentar um protótipo curto para marmorarias, destacar portfólio e orçamento no celular, e pedir confirmação do processo atual antes de afirmar qualquer problema interno.</x:v>
      </x:c>
      <x:c r="AB21" s="23" t="str">
        <x:v>Nome, endereço, telefone, localização e nota/avaliações publicadas como dados do Google na fonte setorial.</x:v>
      </x:c>
      <x:c r="AC21" s="35" t="n">
        <x:v>43</x:v>
      </x:c>
      <x:c r="AD21" s="23" t="str">
        <x:v>Prioridade C — Média</x:v>
      </x:c>
      <x:c r="AE21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21" s="23" t="e">
        <x:f>HYPERLINK("https://marmorebrasil.com.br/londrina/","Fonte 1")</x:f>
        <x:v>HYPERLINK is not implemented. linkLocation=https://marmorebrasil.com.br/londrina/, friendlyName=Fonte 1</x:v>
      </x:c>
      <x:c r="AG21" s="23" t="e">
        <x:f>HYPERLINK("https://marmorebrasil.com.br/londrina/marmoraria-leblon/","Fonte 2")</x:f>
        <x:v>HYPERLINK is not implemented. linkLocation=https://marmorebrasil.com.br/londrina/marmoraria-leblon/, friendlyName=Fonte 2</x:v>
      </x:c>
      <x:c r="AH21" s="23"/>
      <x:c r="AI21" s="38" t="d">
        <x:v>2026-10-18T15:00:00.000Z</x:v>
      </x:c>
      <x:c r="AJ21" s="20" t="str">
        <x:v>não contatado</x:v>
      </x:c>
      <x:c r="AK21" s="20" t="str"/>
      <x:c r="AL21" s="41" t="n">
        <x:v>-23.2556739</x:v>
      </x:c>
      <x:c r="AM21" s="41" t="n">
        <x:v>-51.1576109</x:v>
      </x:c>
    </x:row>
    <x:row r="22">
      <x:c r="A22" s="20" t="str">
        <x:v>1b1c2e98894a</x:v>
      </x:c>
      <x:c r="B22" s="20" t="str">
        <x:v>PrimorStone Marmoraria em Londrina - PR</x:v>
      </x:c>
      <x:c r="C22" s="20" t="str">
        <x:v>Marmorarias</x:v>
      </x:c>
      <x:c r="D22" s="23" t="str">
        <x:v>Av. Brasília, 1068 - Rodocentro, Londrina - PR, 86070-020</x:v>
      </x:c>
      <x:c r="E22" s="23" t="str">
        <x:v>Rodocentro</x:v>
      </x:c>
      <x:c r="F22" s="20" t="str">
        <x:v>Londrina</x:v>
      </x:c>
      <x:c r="G22" s="20" t="str">
        <x:v>PR</x:v>
      </x:c>
      <x:c r="H22" s="20" t="str">
        <x:v>(43) 99648-6346</x:v>
      </x:c>
      <x:c r="I22" s="20" t="str">
        <x:v>NÃO IDENTIFICADO</x:v>
      </x:c>
      <x:c r="J22" s="20" t="str"/>
      <x:c r="K22" s="20" t="e">
        <x:f>HYPERLINK("https://www.google.com/maps/search/?api=1&amp;query=PrimorStone+Marmoraria+em+Londrina+-+PR+Av.+Bras%C3%ADlia%2C+1068+-+Rodocentro%2C+Londrina+-+PR%2C+86070-020","Abrir mapa")</x:f>
        <x:v>HYPERLINK is not implemented. linkLocation=https://www.google.com/maps/search/?api=1&amp;query=PrimorStone+Marmoraria+em+Londrina+-+PR+Av.+Bras%C3%ADlia%2C+1068+-+Rodocentro%2C+Londrina+-+PR%2C+86070-020, friendlyName=Abrir mapa</x:v>
      </x:c>
      <x:c r="L22" s="26" t="n">
        <x:v>4.9</x:v>
      </x:c>
      <x:c r="M22" s="29" t="n">
        <x:v>49</x:v>
      </x:c>
      <x:c r="N22" s="20" t="e">
        <x:f>HYPERLINK("https://primorstone.com.br/","Abrir site")</x:f>
        <x:v>HYPERLINK is not implemented. linkLocation=https://primorstone.com.br/, friendlyName=Abrir site</x:v>
      </x:c>
      <x:c r="O22" s="20" t="str">
        <x:v>SIM</x:v>
      </x:c>
      <x:c r="P22" s="20" t="str">
        <x:v>INDISPONÍVEL NA VERIFICAÇÃO</x:v>
      </x:c>
      <x:c r="Q22" s="32"/>
      <x:c r="R22" s="20" t="str">
        <x:v>INCOMPLETA</x:v>
      </x:c>
      <x:c r="S22" s="20"/>
      <x:c r="T22" s="20"/>
      <x:c r="U22" s="20" t="str">
        <x:v>NÃO IDENTIFICADO</x:v>
      </x:c>
      <x:c r="V22" s="20" t="str">
        <x:v>NÃO IDENTIFICADO</x:v>
      </x:c>
      <x:c r="W22" s="20" t="str">
        <x:v>NÃO IDENTIFICADO</x:v>
      </x:c>
      <x:c r="X22" s="23" t="str">
        <x:v>Mármores, granitos, bancadas, pias e revestimentos (categoria pública; confirmar escopo diretamente).</x:v>
      </x:c>
      <x:c r="Y22" s="23" t="str">
        <x:v>Catálogo digital não identificado; ausência não confirmada. A captação pública encontrada privilegia telefone/diretório; há potencial de simplificar pedidos de orçamento.</x:v>
      </x:c>
      <x:c r="Z22" s="23" t="str">
        <x:v>Catálogo visual com pedido de orçamento. Formulário qualificado e integração com WhatsApp/CRM.</x:v>
      </x:c>
      <x:c r="AA22" s="23" t="str">
        <x:v>Apresentar um protótipo curto para marmorarias, destacar portfólio e orçamento no celular, e pedir confirmação do processo atual antes de afirmar qualquer problema interno.</x:v>
      </x:c>
      <x:c r="AB22" s="23" t="str">
        <x:v>Nome, endereço, telefone, localização e nota/avaliações publicadas como dados do Google na fonte setorial.</x:v>
      </x:c>
      <x:c r="AC22" s="35" t="n">
        <x:v>43</x:v>
      </x:c>
      <x:c r="AD22" s="23" t="str">
        <x:v>Prioridade C — Média</x:v>
      </x:c>
      <x:c r="AE22" s="23" t="str">
        <x:v>0 ausência de site não confirmada; 0 ausência de catálogo não confirmada; 8 captação pública concentrada em contato direto; 15 atividade/reputação pública forte; 10 protótipo reaproveitável no nicho; 10 telefone e endereço públicos verificados na fonte</x:v>
      </x:c>
      <x:c r="AF22" s="23" t="e">
        <x:f>HYPERLINK("https://marmorebrasil.com.br/londrina/","Fonte 1")</x:f>
        <x:v>HYPERLINK is not implemented. linkLocation=https://marmorebrasil.com.br/londrina/, friendlyName=Fonte 1</x:v>
      </x:c>
      <x:c r="AG22" s="23" t="e">
        <x:f>HYPERLINK("https://marmorebrasil.com.br/londrina/primorstone-marmoraria-em-londrina-pr/","Fonte 2")</x:f>
        <x:v>HYPERLINK is not implemented. linkLocation=https://marmorebrasil.com.br/londrina/primorstone-marmoraria-em-londrina-pr/, friendlyName=Fonte 2</x:v>
      </x:c>
      <x:c r="AH22" s="23"/>
      <x:c r="AI22" s="38" t="d">
        <x:v>2026-10-18T15:00:00.000Z</x:v>
      </x:c>
      <x:c r="AJ22" s="20" t="str">
        <x:v>não contatado</x:v>
      </x:c>
      <x:c r="AK22" s="20" t="str"/>
      <x:c r="AL22" s="41" t="n">
        <x:v>-23.292983</x:v>
      </x:c>
      <x:c r="AM22" s="41" t="n">
        <x:v>-51.1853873</x:v>
      </x:c>
    </x:row>
    <x:row r="23">
      <x:c r="A23" s="20" t="str">
        <x:v>895131989a03</x:v>
      </x:c>
      <x:c r="B23" s="20" t="str">
        <x:v>GRANPALHANO DISTRIBUIDORA DE MARMORES E GRANITOS</x:v>
      </x:c>
      <x:c r="C23" s="20" t="str">
        <x:v>Marmorarias</x:v>
      </x:c>
      <x:c r="D23" s="23" t="str">
        <x:v>Rod. Celso Garcia Cid, 3570 - Palhano 2, Londrina - PR, 86057-350</x:v>
      </x:c>
      <x:c r="E23" s="23" t="str">
        <x:v>Palhano 2</x:v>
      </x:c>
      <x:c r="F23" s="20" t="str">
        <x:v>Londrina</x:v>
      </x:c>
      <x:c r="G23" s="20" t="str">
        <x:v>PR</x:v>
      </x:c>
      <x:c r="H23" s="20" t="str">
        <x:v>(43) 3025-6966</x:v>
      </x:c>
      <x:c r="I23" s="20" t="str">
        <x:v>NÃO IDENTIFICADO</x:v>
      </x:c>
      <x:c r="J23" s="20" t="str"/>
      <x:c r="K23" s="20" t="e">
        <x:f>HYPERLINK("https://www.google.com/maps/search/?api=1&amp;query=GRANPALHANO+DISTRIBUIDORA+DE+MARMORES+E+GRANITOS+Rod.+Celso+Garcia+Cid%2C+3570+-+Palhano+2%2C+Londrina+-+PR%2C+86057-350","Abrir mapa")</x:f>
        <x:v>HYPERLINK is not implemented. linkLocation=https://www.google.com/maps/search/?api=1&amp;query=GRANPALHANO+DISTRIBUIDORA+DE+MARMORES+E+GRANITOS+Rod.+Celso+Garcia+Cid%2C+3570+-+Palhano+2%2C+Londrina+-+PR%2C+86057-350, friendlyName=Abrir mapa</x:v>
      </x:c>
      <x:c r="L23" s="26" t="n">
        <x:v>4.4</x:v>
      </x:c>
      <x:c r="M23" s="29" t="n">
        <x:v>18</x:v>
      </x:c>
      <x:c r="N23" s="20" t="e">
        <x:f>HYPERLINK("https://granpalhano.com/","Abrir site")</x:f>
        <x:v>HYPERLINK is not implemented. linkLocation=https://granpalhano.com/, friendlyName=Abrir site</x:v>
      </x:c>
      <x:c r="O23" s="20" t="str">
        <x:v>SIM</x:v>
      </x:c>
      <x:c r="P23" s="20" t="str">
        <x:v>ACESSÍVEL</x:v>
      </x:c>
      <x:c r="Q23" s="32" t="n">
        <x:v>200</x:v>
      </x:c>
      <x:c r="R23" s="20" t="str">
        <x:v>SITE CONFIRMADO</x:v>
      </x:c>
      <x:c r="S23" s="20"/>
      <x:c r="T23" s="20"/>
      <x:c r="U23" s="20" t="str">
        <x:v>NÃO IDENTIFICADO</x:v>
      </x:c>
      <x:c r="V23" s="20" t="str">
        <x:v>NÃO IDENTIFICADO</x:v>
      </x:c>
      <x:c r="W23" s="20" t="str">
        <x:v>NÃO IDENTIFICADO</x:v>
      </x:c>
      <x:c r="X23" s="23" t="str">
        <x:v>Mármores, granitos, bancadas, pias e revestimentos (categoria pública; confirmar escopo diretamente).</x:v>
      </x:c>
      <x:c r="Y23" s="23" t="str">
        <x:v>Catálogo digital não identificado; ausência não confirmada. A captação pública encontrada privilegia telefone/diretório; há potencial de simplificar pedidos de orçamento.</x:v>
      </x:c>
      <x:c r="Z23" s="23" t="str">
        <x:v>Catálogo visual com pedido de orçamento. Formulário qualificado e integração com WhatsApp/CRM.</x:v>
      </x:c>
      <x:c r="AA23" s="23" t="str">
        <x:v>Apresentar um protótipo curto para marmorarias, destacar portfólio e orçamento no celular, e pedir confirmação do processo atual antes de afirmar qualquer problema interno.</x:v>
      </x:c>
      <x:c r="AB23" s="23" t="str">
        <x:v>Nome, endereço, telefone, localização e nota/avaliações publicadas como dados do Google na fonte setorial.</x:v>
      </x:c>
      <x:c r="AC23" s="35" t="n">
        <x:v>40</x:v>
      </x:c>
      <x:c r="AD23" s="23" t="str">
        <x:v>Prioridade C — Média</x:v>
      </x:c>
      <x:c r="AE23" s="23" t="str">
        <x:v>0 ausência de site não confirmada; 0 ausência de catálogo não confirmada; 8 captação pública concentrada em contato direto; 12 atividade/reputação pública moderada; 10 protótipo reaproveitável no nicho; 10 telefone e endereço públicos verificados na fonte</x:v>
      </x:c>
      <x:c r="AF23" s="23" t="e">
        <x:f>HYPERLINK("https://marmorebrasil.com.br/londrina/","Fonte 1")</x:f>
        <x:v>HYPERLINK is not implemented. linkLocation=https://marmorebrasil.com.br/londrina/, friendlyName=Fonte 1</x:v>
      </x:c>
      <x:c r="AG23" s="23" t="e">
        <x:f>HYPERLINK("https://marmorebrasil.com.br/londrina/granpalhano-distribuidora-de-marmores-e-granitos/","Fonte 2")</x:f>
        <x:v>HYPERLINK is not implemented. linkLocation=https://marmorebrasil.com.br/londrina/granpalhano-distribuidora-de-marmores-e-granitos/, friendlyName=Fonte 2</x:v>
      </x:c>
      <x:c r="AH23" s="23"/>
      <x:c r="AI23" s="38" t="d">
        <x:v>2026-10-18T15:00:00.000Z</x:v>
      </x:c>
      <x:c r="AJ23" s="20" t="str">
        <x:v>não contatado</x:v>
      </x:c>
      <x:c r="AK23" s="20" t="str"/>
      <x:c r="AL23" s="41" t="n">
        <x:v>-23.3289632</x:v>
      </x:c>
      <x:c r="AM23" s="41" t="n">
        <x:v>-51.1885211</x:v>
      </x:c>
    </x:row>
    <x:row r="24">
      <x:c r="A24" s="20" t="str">
        <x:v>dbaab68ae292</x:v>
      </x:c>
      <x:c r="B24" s="20" t="str">
        <x:v>Incomarmore</x:v>
      </x:c>
      <x:c r="C24" s="20" t="str">
        <x:v>Marmorarias</x:v>
      </x:c>
      <x:c r="D24" s="23" t="str">
        <x:v>Av. Dez de Dezembro, 3940 - Helena, Londrina - PR, 86010-840</x:v>
      </x:c>
      <x:c r="E24" s="23" t="str">
        <x:v>Helena</x:v>
      </x:c>
      <x:c r="F24" s="20" t="str">
        <x:v>Londrina</x:v>
      </x:c>
      <x:c r="G24" s="20" t="str">
        <x:v>PR</x:v>
      </x:c>
      <x:c r="H24" s="20" t="str">
        <x:v>(43) 3321-4202</x:v>
      </x:c>
      <x:c r="I24" s="20" t="str">
        <x:v>NÃO IDENTIFICADO</x:v>
      </x:c>
      <x:c r="J24" s="20" t="str"/>
      <x:c r="K24" s="20" t="e">
        <x:f>HYPERLINK("https://www.google.com/maps/search/?api=1&amp;query=Incomarmore+Av.+Dez+de+Dezembro%2C+3940+-+Helena%2C+Londrina+-+PR%2C+86010-840","Abrir mapa")</x:f>
        <x:v>HYPERLINK is not implemented. linkLocation=https://www.google.com/maps/search/?api=1&amp;query=Incomarmore+Av.+Dez+de+Dezembro%2C+3940+-+Helena%2C+Londrina+-+PR%2C+86010-840, friendlyName=Abrir mapa</x:v>
      </x:c>
      <x:c r="L24" s="26" t="n">
        <x:v>4.2</x:v>
      </x:c>
      <x:c r="M24" s="29" t="n">
        <x:v>27</x:v>
      </x:c>
      <x:c r="N24" s="20" t="e">
        <x:f>HYPERLINK("https://incomarmoref.blogspot.com/","Abrir site")</x:f>
        <x:v>HYPERLINK is not implemented. linkLocation=https://incomarmoref.blogspot.com/, friendlyName=Abrir site</x:v>
      </x:c>
      <x:c r="O24" s="20" t="str">
        <x:v>SIM</x:v>
      </x:c>
      <x:c r="P24" s="20" t="str">
        <x:v>ACESSÍVEL</x:v>
      </x:c>
      <x:c r="Q24" s="32" t="n">
        <x:v>200</x:v>
      </x:c>
      <x:c r="R24" s="20" t="str">
        <x:v>SITE CONFIRMADO</x:v>
      </x:c>
      <x:c r="S24" s="20"/>
      <x:c r="T24" s="20"/>
      <x:c r="U24" s="20" t="str">
        <x:v>NÃO IDENTIFICADO</x:v>
      </x:c>
      <x:c r="V24" s="20" t="str">
        <x:v>NÃO IDENTIFICADO</x:v>
      </x:c>
      <x:c r="W24" s="20" t="str">
        <x:v>NÃO IDENTIFICADO</x:v>
      </x:c>
      <x:c r="X24" s="23" t="str">
        <x:v>Mármores, granitos, bancadas, pias e revestimentos (categoria pública; confirmar escopo diretamente).</x:v>
      </x:c>
      <x:c r="Y24" s="23" t="str">
        <x:v>Catálogo digital não identificado; ausência não confirmada. A captação pública encontrada privilegia telefone/diretório; há potencial de simplificar pedidos de orçamento.</x:v>
      </x:c>
      <x:c r="Z24" s="23" t="str">
        <x:v>Catálogo visual com pedido de orçamento. Formulário qualificado e integração com WhatsApp/CRM.</x:v>
      </x:c>
      <x:c r="AA24" s="23" t="str">
        <x:v>Apresentar um protótipo curto para marmorarias, destacar portfólio e orçamento no celular, e pedir confirmação do processo atual antes de afirmar qualquer problema interno.</x:v>
      </x:c>
      <x:c r="AB24" s="23" t="str">
        <x:v>Nome, endereço, telefone, localização e nota/avaliações publicadas como dados do Google na fonte setorial.</x:v>
      </x:c>
      <x:c r="AC24" s="35" t="n">
        <x:v>40</x:v>
      </x:c>
      <x:c r="AD24" s="23" t="str">
        <x:v>Prioridade C — Média</x:v>
      </x:c>
      <x:c r="AE24" s="23" t="str">
        <x:v>0 ausência de site não confirmada; 0 ausência de catálogo não confirmada; 8 captação pública concentrada em contato direto; 12 atividade/reputação pública moderada; 10 protótipo reaproveitável no nicho; 10 telefone e endereço públicos verificados na fonte</x:v>
      </x:c>
      <x:c r="AF24" s="23" t="e">
        <x:f>HYPERLINK("https://marmorebrasil.com.br/londrina/","Fonte 1")</x:f>
        <x:v>HYPERLINK is not implemented. linkLocation=https://marmorebrasil.com.br/londrina/, friendlyName=Fonte 1</x:v>
      </x:c>
      <x:c r="AG24" s="23" t="e">
        <x:f>HYPERLINK("https://marmorebrasil.com.br/londrina/incomarmore/","Fonte 2")</x:f>
        <x:v>HYPERLINK is not implemented. linkLocation=https://marmorebrasil.com.br/londrina/incomarmore/, friendlyName=Fonte 2</x:v>
      </x:c>
      <x:c r="AH24" s="23"/>
      <x:c r="AI24" s="38" t="d">
        <x:v>2026-10-18T15:00:00.000Z</x:v>
      </x:c>
      <x:c r="AJ24" s="20" t="str">
        <x:v>não contatado</x:v>
      </x:c>
      <x:c r="AK24" s="20" t="str"/>
      <x:c r="AL24" s="41" t="n">
        <x:v>-23.3283462</x:v>
      </x:c>
      <x:c r="AM24" s="41" t="n">
        <x:v>-51.1462517</x:v>
      </x:c>
    </x:row>
    <x:row r="25">
      <x:c r="A25" s="20" t="str">
        <x:v>e5767143187f</x:v>
      </x:c>
      <x:c r="B25" s="20" t="str">
        <x:v>A Projevidros Vidraçaria</x:v>
      </x:c>
      <x:c r="C25" s="20" t="str">
        <x:v>Vidraçarias</x:v>
      </x:c>
      <x:c r="D25" s="23" t="str">
        <x:v>Rua Amapá, 888 - Bairro: Vila Filipin - Londrina - PR - CEP: 86026-440</x:v>
      </x:c>
      <x:c r="E25" s="23" t="str">
        <x:v>Vila Filipin</x:v>
      </x:c>
      <x:c r="F25" s="20" t="str">
        <x:v>Londrina</x:v>
      </x:c>
      <x:c r="G25" s="20" t="str">
        <x:v>PR</x:v>
      </x:c>
      <x:c r="H25" s="20" t="str">
        <x:v>(43) 3026-2021</x:v>
      </x:c>
      <x:c r="I25" s="20" t="str">
        <x:v>NÃO IDENTIFICADO</x:v>
      </x:c>
      <x:c r="J25" s="20" t="str"/>
      <x:c r="K25" s="20" t="e">
        <x:f>HYPERLINK("https://www.google.com/maps/search/?api=1&amp;query=A+Projevidros+Vidra%C3%A7aria+Rua+Amap%C3%A1%2C+888+-+Bairro%3A+Vila+Filipin+-+Londrina+-+PR+-+CEP%3A+86026-440","Abrir mapa")</x:f>
        <x:v>HYPERLINK is not implemented. linkLocation=https://www.google.com/maps/search/?api=1&amp;query=A+Projevidros+Vidra%C3%A7aria+Rua+Amap%C3%A1%2C+888+-+Bairro%3A+Vila+Filipin+-+Londrina+-+PR+-+CEP%3A+86026-440, friendlyName=Abrir mapa</x:v>
      </x:c>
      <x:c r="L25" s="26"/>
      <x:c r="M25" s="29"/>
      <x:c r="N25" s="20"/>
      <x:c r="O25" s="20" t="str">
        <x:v>NÃO IDENTIFICADO</x:v>
      </x:c>
      <x:c r="P25" s="20" t="str">
        <x:v>NÃO APLICÁVEL</x:v>
      </x:c>
      <x:c r="Q25" s="32"/>
      <x:c r="R25" s="20" t="str">
        <x:v>NÃO IDENTIFICADA</x:v>
      </x:c>
      <x:c r="S25" s="20"/>
      <x:c r="T25" s="20"/>
      <x:c r="U25" s="20" t="str">
        <x:v>NÃO IDENTIFICADO</x:v>
      </x:c>
      <x:c r="V25" s="20" t="str">
        <x:v>NÃO IDENTIFICADO</x:v>
      </x:c>
      <x:c r="W25" s="20" t="str">
        <x:v>NÃO IDENTIFICADO</x:v>
      </x:c>
      <x:c r="X25" s="23" t="str">
        <x:v>Vidros, espelhos, boxes e esquadrias (categoria pública; confirmar escopo diretamente).</x:v>
      </x:c>
      <x:c r="Y25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25" s="23" t="str">
        <x:v>Se confirmado, landing page/site institucional com portfólio. Catálogo visual com pedido de orçamento. Formulário qualificado e integração com WhatsApp/CRM.</x:v>
      </x:c>
      <x:c r="AA25" s="23" t="str">
        <x:v>Apresentar um protótipo curto para vidraçarias, destacar portfólio e orçamento no celular, e pedir confirmação do processo atual antes de afirmar qualquer problema interno.</x:v>
      </x:c>
      <x:c r="AB25" s="23" t="str">
        <x:v>Nome, endereço e telefone publicados no diretório indicado em Fontes.</x:v>
      </x:c>
      <x:c r="AC25" s="35" t="n">
        <x:v>33</x:v>
      </x:c>
      <x:c r="AD25" s="23" t="str">
        <x:v>Prioridade D — Baixa</x:v>
      </x:c>
      <x:c r="AE25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25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25" s="23"/>
      <x:c r="AH25" s="23"/>
      <x:c r="AI25" s="38" t="d">
        <x:v>2026-10-18T15:00:00.000Z</x:v>
      </x:c>
      <x:c r="AJ25" s="20" t="str">
        <x:v>não contatado</x:v>
      </x:c>
      <x:c r="AK25" s="20" t="str"/>
      <x:c r="AL25" s="41"/>
      <x:c r="AM25" s="41"/>
    </x:row>
    <x:row r="26">
      <x:c r="A26" s="20" t="str">
        <x:v>de46d5fdfc5a</x:v>
      </x:c>
      <x:c r="B26" s="20" t="str">
        <x:v>Adm Vidraçaria</x:v>
      </x:c>
      <x:c r="C26" s="20" t="str">
        <x:v>Vidraçarias</x:v>
      </x:c>
      <x:c r="D26" s="23" t="str">
        <x:v>Rua Winston Churchill, 969 - Bairro: - Andes - Londrina - PR - CEP: 86076-000</x:v>
      </x:c>
      <x:c r="E26" s="23" t="str"/>
      <x:c r="F26" s="20" t="str">
        <x:v>Londrina</x:v>
      </x:c>
      <x:c r="G26" s="20" t="str">
        <x:v>PR</x:v>
      </x:c>
      <x:c r="H26" s="20" t="str">
        <x:v>(43) 3328-2861</x:v>
      </x:c>
      <x:c r="I26" s="20" t="str">
        <x:v>NÃO IDENTIFICADO</x:v>
      </x:c>
      <x:c r="J26" s="20" t="str"/>
      <x:c r="K26" s="20" t="e">
        <x:f>HYPERLINK("https://www.google.com/maps/search/?api=1&amp;query=Adm+Vidra%C3%A7aria+Rua+Winston+Churchill%2C+969+-+Bairro%3A+-+Andes+-+Londrina+-+PR+-+CEP%3A+86076-000","Abrir mapa")</x:f>
        <x:v>HYPERLINK is not implemented. linkLocation=https://www.google.com/maps/search/?api=1&amp;query=Adm+Vidra%C3%A7aria+Rua+Winston+Churchill%2C+969+-+Bairro%3A+-+Andes+-+Londrina+-+PR+-+CEP%3A+86076-000, friendlyName=Abrir mapa</x:v>
      </x:c>
      <x:c r="L26" s="26"/>
      <x:c r="M26" s="29"/>
      <x:c r="N26" s="20"/>
      <x:c r="O26" s="20" t="str">
        <x:v>NÃO IDENTIFICADO</x:v>
      </x:c>
      <x:c r="P26" s="20" t="str">
        <x:v>NÃO APLICÁVEL</x:v>
      </x:c>
      <x:c r="Q26" s="32"/>
      <x:c r="R26" s="20" t="str">
        <x:v>NÃO IDENTIFICADA</x:v>
      </x:c>
      <x:c r="S26" s="20"/>
      <x:c r="T26" s="20"/>
      <x:c r="U26" s="20" t="str">
        <x:v>NÃO IDENTIFICADO</x:v>
      </x:c>
      <x:c r="V26" s="20" t="str">
        <x:v>NÃO IDENTIFICADO</x:v>
      </x:c>
      <x:c r="W26" s="20" t="str">
        <x:v>NÃO IDENTIFICADO</x:v>
      </x:c>
      <x:c r="X26" s="23" t="str">
        <x:v>Vidros, espelhos, boxes e esquadrias (categoria pública; confirmar escopo diretamente).</x:v>
      </x:c>
      <x:c r="Y26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26" s="23" t="str">
        <x:v>Se confirmado, landing page/site institucional com portfólio. Catálogo visual com pedido de orçamento. Formulário qualificado e integração com WhatsApp/CRM.</x:v>
      </x:c>
      <x:c r="AA26" s="23" t="str">
        <x:v>Apresentar um protótipo curto para vidraçarias, destacar portfólio e orçamento no celular, e pedir confirmação do processo atual antes de afirmar qualquer problema interno.</x:v>
      </x:c>
      <x:c r="AB26" s="23" t="str">
        <x:v>Nome, endereço e telefone publicados no diretório indicado em Fontes.</x:v>
      </x:c>
      <x:c r="AC26" s="35" t="n">
        <x:v>33</x:v>
      </x:c>
      <x:c r="AD26" s="23" t="str">
        <x:v>Prioridade D — Baixa</x:v>
      </x:c>
      <x:c r="AE26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26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26" s="23"/>
      <x:c r="AH26" s="23"/>
      <x:c r="AI26" s="38" t="d">
        <x:v>2026-10-18T15:00:00.000Z</x:v>
      </x:c>
      <x:c r="AJ26" s="20" t="str">
        <x:v>não contatado</x:v>
      </x:c>
      <x:c r="AK26" s="20" t="str"/>
      <x:c r="AL26" s="41"/>
      <x:c r="AM26" s="41"/>
    </x:row>
    <x:row r="27">
      <x:c r="A27" s="20" t="str">
        <x:v>64d2ccb0cae3</x:v>
      </x:c>
      <x:c r="B27" s="20" t="str">
        <x:v>Alumibox Vidraçaria</x:v>
      </x:c>
      <x:c r="C27" s="20" t="str">
        <x:v>Vidraçarias</x:v>
      </x:c>
      <x:c r="D27" s="23" t="str">
        <x:v>Rua Paraíba, 395 - Bairro: Jardim Higienópolis - Londrina - PR - CEP: 86020-090</x:v>
      </x:c>
      <x:c r="E27" s="23" t="str">
        <x:v>Jardim Higienópolis</x:v>
      </x:c>
      <x:c r="F27" s="20" t="str">
        <x:v>Londrina</x:v>
      </x:c>
      <x:c r="G27" s="20" t="str">
        <x:v>PR</x:v>
      </x:c>
      <x:c r="H27" s="20" t="str">
        <x:v>(43) 3339-2938</x:v>
      </x:c>
      <x:c r="I27" s="20" t="str">
        <x:v>NÃO IDENTIFICADO</x:v>
      </x:c>
      <x:c r="J27" s="20" t="str"/>
      <x:c r="K27" s="20" t="e">
        <x:f>HYPERLINK("https://www.google.com/maps/search/?api=1&amp;query=Alumibox+Vidra%C3%A7aria+Rua+Para%C3%ADba%2C+395+-+Bairro%3A+Jardim+Higien%C3%B3polis+-+Londrina+-+PR+-+CEP%3A+86020-090","Abrir mapa")</x:f>
        <x:v>HYPERLINK is not implemented. linkLocation=https://www.google.com/maps/search/?api=1&amp;query=Alumibox+Vidra%C3%A7aria+Rua+Para%C3%ADba%2C+395+-+Bairro%3A+Jardim+Higien%C3%B3polis+-+Londrina+-+PR+-+CEP%3A+86020-090, friendlyName=Abrir mapa</x:v>
      </x:c>
      <x:c r="L27" s="26"/>
      <x:c r="M27" s="29"/>
      <x:c r="N27" s="20"/>
      <x:c r="O27" s="20" t="str">
        <x:v>NÃO IDENTIFICADO</x:v>
      </x:c>
      <x:c r="P27" s="20" t="str">
        <x:v>NÃO APLICÁVEL</x:v>
      </x:c>
      <x:c r="Q27" s="32"/>
      <x:c r="R27" s="20" t="str">
        <x:v>NÃO IDENTIFICADA</x:v>
      </x:c>
      <x:c r="S27" s="20"/>
      <x:c r="T27" s="20"/>
      <x:c r="U27" s="20" t="str">
        <x:v>NÃO IDENTIFICADO</x:v>
      </x:c>
      <x:c r="V27" s="20" t="str">
        <x:v>NÃO IDENTIFICADO</x:v>
      </x:c>
      <x:c r="W27" s="20" t="str">
        <x:v>NÃO IDENTIFICADO</x:v>
      </x:c>
      <x:c r="X27" s="23" t="str">
        <x:v>Vidros, espelhos, boxes e esquadrias (categoria pública; confirmar escopo diretamente).</x:v>
      </x:c>
      <x:c r="Y27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27" s="23" t="str">
        <x:v>Se confirmado, landing page/site institucional com portfólio. Catálogo visual com pedido de orçamento. Formulário qualificado e integração com WhatsApp/CRM.</x:v>
      </x:c>
      <x:c r="AA27" s="23" t="str">
        <x:v>Apresentar um protótipo curto para vidraçarias, destacar portfólio e orçamento no celular, e pedir confirmação do processo atual antes de afirmar qualquer problema interno.</x:v>
      </x:c>
      <x:c r="AB27" s="23" t="str">
        <x:v>Nome, endereço e telefone publicados no diretório indicado em Fontes.</x:v>
      </x:c>
      <x:c r="AC27" s="35" t="n">
        <x:v>33</x:v>
      </x:c>
      <x:c r="AD27" s="23" t="str">
        <x:v>Prioridade D — Baixa</x:v>
      </x:c>
      <x:c r="AE27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27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27" s="23"/>
      <x:c r="AH27" s="23"/>
      <x:c r="AI27" s="38" t="d">
        <x:v>2026-10-18T15:00:00.000Z</x:v>
      </x:c>
      <x:c r="AJ27" s="20" t="str">
        <x:v>não contatado</x:v>
      </x:c>
      <x:c r="AK27" s="20" t="str"/>
      <x:c r="AL27" s="41"/>
      <x:c r="AM27" s="41"/>
    </x:row>
    <x:row r="28">
      <x:c r="A28" s="20" t="str">
        <x:v>873ca022d133</x:v>
      </x:c>
      <x:c r="B28" s="20" t="str">
        <x:v>Araguaia Vidraçaria</x:v>
      </x:c>
      <x:c r="C28" s="20" t="str">
        <x:v>Vidraçarias</x:v>
      </x:c>
      <x:c r="D28" s="23" t="str">
        <x:v>Rua Araguaia, 815 - Bairro: Jardim Agari - Londrina - PR - CEP: 86025-720</x:v>
      </x:c>
      <x:c r="E28" s="23" t="str">
        <x:v>Jardim Agari</x:v>
      </x:c>
      <x:c r="F28" s="20" t="str">
        <x:v>Londrina</x:v>
      </x:c>
      <x:c r="G28" s="20" t="str">
        <x:v>PR</x:v>
      </x:c>
      <x:c r="H28" s="20" t="str">
        <x:v>(43) 3329-3157</x:v>
      </x:c>
      <x:c r="I28" s="20" t="str">
        <x:v>NÃO IDENTIFICADO</x:v>
      </x:c>
      <x:c r="J28" s="20" t="str"/>
      <x:c r="K28" s="20" t="e">
        <x:f>HYPERLINK("https://www.google.com/maps/search/?api=1&amp;query=Araguaia+Vidra%C3%A7aria+Rua+Araguaia%2C+815+-+Bairro%3A+Jardim+Agari+-+Londrina+-+PR+-+CEP%3A+86025-720","Abrir mapa")</x:f>
        <x:v>HYPERLINK is not implemented. linkLocation=https://www.google.com/maps/search/?api=1&amp;query=Araguaia+Vidra%C3%A7aria+Rua+Araguaia%2C+815+-+Bairro%3A+Jardim+Agari+-+Londrina+-+PR+-+CEP%3A+86025-720, friendlyName=Abrir mapa</x:v>
      </x:c>
      <x:c r="L28" s="26"/>
      <x:c r="M28" s="29"/>
      <x:c r="N28" s="20"/>
      <x:c r="O28" s="20" t="str">
        <x:v>NÃO IDENTIFICADO</x:v>
      </x:c>
      <x:c r="P28" s="20" t="str">
        <x:v>NÃO APLICÁVEL</x:v>
      </x:c>
      <x:c r="Q28" s="32"/>
      <x:c r="R28" s="20" t="str">
        <x:v>NÃO IDENTIFICADA</x:v>
      </x:c>
      <x:c r="S28" s="20"/>
      <x:c r="T28" s="20"/>
      <x:c r="U28" s="20" t="str">
        <x:v>NÃO IDENTIFICADO</x:v>
      </x:c>
      <x:c r="V28" s="20" t="str">
        <x:v>NÃO IDENTIFICADO</x:v>
      </x:c>
      <x:c r="W28" s="20" t="str">
        <x:v>NÃO IDENTIFICADO</x:v>
      </x:c>
      <x:c r="X28" s="23" t="str">
        <x:v>Vidros, espelhos, boxes e esquadrias (categoria pública; confirmar escopo diretamente).</x:v>
      </x:c>
      <x:c r="Y28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28" s="23" t="str">
        <x:v>Se confirmado, landing page/site institucional com portfólio. Catálogo visual com pedido de orçamento. Formulário qualificado e integração com WhatsApp/CRM.</x:v>
      </x:c>
      <x:c r="AA28" s="23" t="str">
        <x:v>Apresentar um protótipo curto para vidraçarias, destacar portfólio e orçamento no celular, e pedir confirmação do processo atual antes de afirmar qualquer problema interno.</x:v>
      </x:c>
      <x:c r="AB28" s="23" t="str">
        <x:v>Nome, endereço e telefone publicados no diretório indicado em Fontes.</x:v>
      </x:c>
      <x:c r="AC28" s="35" t="n">
        <x:v>33</x:v>
      </x:c>
      <x:c r="AD28" s="23" t="str">
        <x:v>Prioridade D — Baixa</x:v>
      </x:c>
      <x:c r="AE28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28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28" s="23"/>
      <x:c r="AH28" s="23"/>
      <x:c r="AI28" s="38" t="d">
        <x:v>2026-10-18T15:00:00.000Z</x:v>
      </x:c>
      <x:c r="AJ28" s="20" t="str">
        <x:v>não contatado</x:v>
      </x:c>
      <x:c r="AK28" s="20" t="str"/>
      <x:c r="AL28" s="41"/>
      <x:c r="AM28" s="41"/>
    </x:row>
    <x:row r="29">
      <x:c r="A29" s="20" t="str">
        <x:v>68840a31f65f</x:v>
      </x:c>
      <x:c r="B29" s="20" t="str">
        <x:v>Art Final Vidraçaria</x:v>
      </x:c>
      <x:c r="C29" s="20" t="str">
        <x:v>Vidraçarias</x:v>
      </x:c>
      <x:c r="D29" s="23" t="str">
        <x:v>Avenida do Café, 105 - Bairro: Conjunto Café - Londrina - PR - CEP: 86038-000</x:v>
      </x:c>
      <x:c r="E29" s="23" t="str">
        <x:v>Conjunto Café</x:v>
      </x:c>
      <x:c r="F29" s="20" t="str">
        <x:v>Londrina</x:v>
      </x:c>
      <x:c r="G29" s="20" t="str">
        <x:v>PR</x:v>
      </x:c>
      <x:c r="H29" s="20" t="str">
        <x:v>(43) 3339-8326</x:v>
      </x:c>
      <x:c r="I29" s="20" t="str">
        <x:v>NÃO IDENTIFICADO</x:v>
      </x:c>
      <x:c r="J29" s="20" t="str"/>
      <x:c r="K29" s="20" t="e">
        <x:f>HYPERLINK("https://www.google.com/maps/search/?api=1&amp;query=Art+Final+Vidra%C3%A7aria+Avenida+do+Caf%C3%A9%2C+105+-+Bairro%3A+Conjunto+Caf%C3%A9+-+Londrina+-+PR+-+CEP%3A+86038-000","Abrir mapa")</x:f>
        <x:v>HYPERLINK is not implemented. linkLocation=https://www.google.com/maps/search/?api=1&amp;query=Art+Final+Vidra%C3%A7aria+Avenida+do+Caf%C3%A9%2C+105+-+Bairro%3A+Conjunto+Caf%C3%A9+-+Londrina+-+PR+-+CEP%3A+86038-000, friendlyName=Abrir mapa</x:v>
      </x:c>
      <x:c r="L29" s="26"/>
      <x:c r="M29" s="29"/>
      <x:c r="N29" s="20"/>
      <x:c r="O29" s="20" t="str">
        <x:v>NÃO IDENTIFICADO</x:v>
      </x:c>
      <x:c r="P29" s="20" t="str">
        <x:v>NÃO APLICÁVEL</x:v>
      </x:c>
      <x:c r="Q29" s="32"/>
      <x:c r="R29" s="20" t="str">
        <x:v>NÃO IDENTIFICADA</x:v>
      </x:c>
      <x:c r="S29" s="20"/>
      <x:c r="T29" s="20"/>
      <x:c r="U29" s="20" t="str">
        <x:v>NÃO IDENTIFICADO</x:v>
      </x:c>
      <x:c r="V29" s="20" t="str">
        <x:v>NÃO IDENTIFICADO</x:v>
      </x:c>
      <x:c r="W29" s="20" t="str">
        <x:v>NÃO IDENTIFICADO</x:v>
      </x:c>
      <x:c r="X29" s="23" t="str">
        <x:v>Vidros, espelhos, boxes e esquadrias (categoria pública; confirmar escopo diretamente).</x:v>
      </x:c>
      <x:c r="Y29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29" s="23" t="str">
        <x:v>Se confirmado, landing page/site institucional com portfólio. Catálogo visual com pedido de orçamento. Formulário qualificado e integração com WhatsApp/CRM.</x:v>
      </x:c>
      <x:c r="AA29" s="23" t="str">
        <x:v>Apresentar um protótipo curto para vidraçarias, destacar portfólio e orçamento no celular, e pedir confirmação do processo atual antes de afirmar qualquer problema interno.</x:v>
      </x:c>
      <x:c r="AB29" s="23" t="str">
        <x:v>Nome, endereço e telefone publicados no diretório indicado em Fontes.</x:v>
      </x:c>
      <x:c r="AC29" s="35" t="n">
        <x:v>33</x:v>
      </x:c>
      <x:c r="AD29" s="23" t="str">
        <x:v>Prioridade D — Baixa</x:v>
      </x:c>
      <x:c r="AE29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29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29" s="23"/>
      <x:c r="AH29" s="23"/>
      <x:c r="AI29" s="38" t="d">
        <x:v>2026-10-18T15:00:00.000Z</x:v>
      </x:c>
      <x:c r="AJ29" s="20" t="str">
        <x:v>não contatado</x:v>
      </x:c>
      <x:c r="AK29" s="20" t="str"/>
      <x:c r="AL29" s="41"/>
      <x:c r="AM29" s="41"/>
    </x:row>
    <x:row r="30">
      <x:c r="A30" s="20" t="str">
        <x:v>639e9b583de7</x:v>
      </x:c>
      <x:c r="B30" s="20" t="str">
        <x:v>Box &amp; Vidraçaria Mangaba</x:v>
      </x:c>
      <x:c r="C30" s="20" t="str">
        <x:v>Vidraçarias</x:v>
      </x:c>
      <x:c r="D30" s="23" t="str">
        <x:v>Rua Mangaba, 399 - Bairro: Panorama - Londrina - PR - CEP: 86035-340</x:v>
      </x:c>
      <x:c r="E30" s="23" t="str">
        <x:v>Panorama</x:v>
      </x:c>
      <x:c r="F30" s="20" t="str">
        <x:v>Londrina</x:v>
      </x:c>
      <x:c r="G30" s="20" t="str">
        <x:v>PR</x:v>
      </x:c>
      <x:c r="H30" s="20" t="str">
        <x:v>(43) 3339-0236</x:v>
      </x:c>
      <x:c r="I30" s="20" t="str">
        <x:v>NÃO IDENTIFICADO</x:v>
      </x:c>
      <x:c r="J30" s="20" t="str"/>
      <x:c r="K30" s="20" t="e">
        <x:f>HYPERLINK("https://www.google.com/maps/search/?api=1&amp;query=Box+%26+Vidra%C3%A7aria+Mangaba+Rua+Mangaba%2C+399+-+Bairro%3A+Panorama+-+Londrina+-+PR+-+CEP%3A+86035-340","Abrir mapa")</x:f>
        <x:v>HYPERLINK is not implemented. linkLocation=https://www.google.com/maps/search/?api=1&amp;query=Box+%26+Vidra%C3%A7aria+Mangaba+Rua+Mangaba%2C+399+-+Bairro%3A+Panorama+-+Londrina+-+PR+-+CEP%3A+86035-340, friendlyName=Abrir mapa</x:v>
      </x:c>
      <x:c r="L30" s="26"/>
      <x:c r="M30" s="29"/>
      <x:c r="N30" s="20"/>
      <x:c r="O30" s="20" t="str">
        <x:v>NÃO IDENTIFICADO</x:v>
      </x:c>
      <x:c r="P30" s="20" t="str">
        <x:v>NÃO APLICÁVEL</x:v>
      </x:c>
      <x:c r="Q30" s="32"/>
      <x:c r="R30" s="20" t="str">
        <x:v>NÃO IDENTIFICADA</x:v>
      </x:c>
      <x:c r="S30" s="20"/>
      <x:c r="T30" s="20"/>
      <x:c r="U30" s="20" t="str">
        <x:v>NÃO IDENTIFICADO</x:v>
      </x:c>
      <x:c r="V30" s="20" t="str">
        <x:v>NÃO IDENTIFICADO</x:v>
      </x:c>
      <x:c r="W30" s="20" t="str">
        <x:v>NÃO IDENTIFICADO</x:v>
      </x:c>
      <x:c r="X30" s="23" t="str">
        <x:v>Vidros, espelhos, boxes e esquadrias (categoria pública; confirmar escopo diretamente).</x:v>
      </x:c>
      <x:c r="Y30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0" s="23" t="str">
        <x:v>Se confirmado, landing page/site institucional com portfólio. Catálogo visual com pedido de orçamento. Formulário qualificado e integração com WhatsApp/CRM.</x:v>
      </x:c>
      <x:c r="AA30" s="23" t="str">
        <x:v>Apresentar um protótipo curto para vidraçarias, destacar portfólio e orçamento no celular, e pedir confirmação do processo atual antes de afirmar qualquer problema interno.</x:v>
      </x:c>
      <x:c r="AB30" s="23" t="str">
        <x:v>Nome, endereço e telefone publicados no diretório indicado em Fontes.</x:v>
      </x:c>
      <x:c r="AC30" s="35" t="n">
        <x:v>33</x:v>
      </x:c>
      <x:c r="AD30" s="23" t="str">
        <x:v>Prioridade D — Baixa</x:v>
      </x:c>
      <x:c r="AE30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0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0" s="23"/>
      <x:c r="AH30" s="23"/>
      <x:c r="AI30" s="38" t="d">
        <x:v>2026-10-18T15:00:00.000Z</x:v>
      </x:c>
      <x:c r="AJ30" s="20" t="str">
        <x:v>não contatado</x:v>
      </x:c>
      <x:c r="AK30" s="20" t="str"/>
      <x:c r="AL30" s="41"/>
      <x:c r="AM30" s="41"/>
    </x:row>
    <x:row r="31">
      <x:c r="A31" s="20" t="str">
        <x:v>8f584074d1b8</x:v>
      </x:c>
      <x:c r="B31" s="20" t="str">
        <x:v>Box HBV Fiel Vidraçaria</x:v>
      </x:c>
      <x:c r="C31" s="20" t="str">
        <x:v>Vidraçarias</x:v>
      </x:c>
      <x:c r="D31" s="23" t="str">
        <x:v>Rua Piquiri, 90 - Bairro: Vila Balarotti - Londrina - PR - CEP: 86025-340</x:v>
      </x:c>
      <x:c r="E31" s="23" t="str">
        <x:v>Vila Balarotti</x:v>
      </x:c>
      <x:c r="F31" s="20" t="str">
        <x:v>Londrina</x:v>
      </x:c>
      <x:c r="G31" s="20" t="str">
        <x:v>PR</x:v>
      </x:c>
      <x:c r="H31" s="20" t="str">
        <x:v>(43) 3325-1171</x:v>
      </x:c>
      <x:c r="I31" s="20" t="str">
        <x:v>NÃO IDENTIFICADO</x:v>
      </x:c>
      <x:c r="J31" s="20" t="str"/>
      <x:c r="K31" s="20" t="e">
        <x:f>HYPERLINK("https://www.google.com/maps/search/?api=1&amp;query=Box+HBV+Fiel+Vidra%C3%A7aria+Rua+Piquiri%2C+90+-+Bairro%3A+Vila+Balarotti+-+Londrina+-+PR+-+CEP%3A+86025-340","Abrir mapa")</x:f>
        <x:v>HYPERLINK is not implemented. linkLocation=https://www.google.com/maps/search/?api=1&amp;query=Box+HBV+Fiel+Vidra%C3%A7aria+Rua+Piquiri%2C+90+-+Bairro%3A+Vila+Balarotti+-+Londrina+-+PR+-+CEP%3A+86025-340, friendlyName=Abrir mapa</x:v>
      </x:c>
      <x:c r="L31" s="26"/>
      <x:c r="M31" s="29"/>
      <x:c r="N31" s="20"/>
      <x:c r="O31" s="20" t="str">
        <x:v>NÃO IDENTIFICADO</x:v>
      </x:c>
      <x:c r="P31" s="20" t="str">
        <x:v>NÃO APLICÁVEL</x:v>
      </x:c>
      <x:c r="Q31" s="32"/>
      <x:c r="R31" s="20" t="str">
        <x:v>NÃO IDENTIFICADA</x:v>
      </x:c>
      <x:c r="S31" s="20"/>
      <x:c r="T31" s="20"/>
      <x:c r="U31" s="20" t="str">
        <x:v>NÃO IDENTIFICADO</x:v>
      </x:c>
      <x:c r="V31" s="20" t="str">
        <x:v>NÃO IDENTIFICADO</x:v>
      </x:c>
      <x:c r="W31" s="20" t="str">
        <x:v>NÃO IDENTIFICADO</x:v>
      </x:c>
      <x:c r="X31" s="23" t="str">
        <x:v>Vidros, espelhos, boxes e esquadrias (categoria pública; confirmar escopo diretamente).</x:v>
      </x:c>
      <x:c r="Y31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1" s="23" t="str">
        <x:v>Se confirmado, landing page/site institucional com portfólio. Catálogo visual com pedido de orçamento. Formulário qualificado e integração com WhatsApp/CRM.</x:v>
      </x:c>
      <x:c r="AA31" s="23" t="str">
        <x:v>Apresentar um protótipo curto para vidraçarias, destacar portfólio e orçamento no celular, e pedir confirmação do processo atual antes de afirmar qualquer problema interno.</x:v>
      </x:c>
      <x:c r="AB31" s="23" t="str">
        <x:v>Nome, endereço e telefone publicados no diretório indicado em Fontes.</x:v>
      </x:c>
      <x:c r="AC31" s="35" t="n">
        <x:v>33</x:v>
      </x:c>
      <x:c r="AD31" s="23" t="str">
        <x:v>Prioridade D — Baixa</x:v>
      </x:c>
      <x:c r="AE31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1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1" s="23"/>
      <x:c r="AH31" s="23"/>
      <x:c r="AI31" s="38" t="d">
        <x:v>2026-10-18T15:00:00.000Z</x:v>
      </x:c>
      <x:c r="AJ31" s="20" t="str">
        <x:v>não contatado</x:v>
      </x:c>
      <x:c r="AK31" s="20" t="str"/>
      <x:c r="AL31" s="41"/>
      <x:c r="AM31" s="41"/>
    </x:row>
    <x:row r="32">
      <x:c r="A32" s="20" t="str">
        <x:v>120eee3dfd07</x:v>
      </x:c>
      <x:c r="B32" s="20" t="str">
        <x:v>CCS Vidraçaria</x:v>
      </x:c>
      <x:c r="C32" s="20" t="str">
        <x:v>Vidraçarias</x:v>
      </x:c>
      <x:c r="D32" s="23" t="str">
        <x:v>Rua Antônio Cotarelli, 629 - Bairro: José Garcia Molina - Londrina - PR - CEP: 86080-545</x:v>
      </x:c>
      <x:c r="E32" s="23" t="str">
        <x:v>José Garcia Molina</x:v>
      </x:c>
      <x:c r="F32" s="20" t="str">
        <x:v>Londrina</x:v>
      </x:c>
      <x:c r="G32" s="20" t="str">
        <x:v>PR</x:v>
      </x:c>
      <x:c r="H32" s="20" t="str">
        <x:v>(43) 3327-7088</x:v>
      </x:c>
      <x:c r="I32" s="20" t="str">
        <x:v>NÃO IDENTIFICADO</x:v>
      </x:c>
      <x:c r="J32" s="20" t="str"/>
      <x:c r="K32" s="20" t="e">
        <x:f>HYPERLINK("https://www.google.com/maps/search/?api=1&amp;query=CCS+Vidra%C3%A7aria+Rua+Ant%C3%B4nio+Cotarelli%2C+629+-+Bairro%3A+Jos%C3%A9+Garcia+Molina+-+Londrina+-+PR+-+CEP%3A+86080-545","Abrir mapa")</x:f>
        <x:v>HYPERLINK is not implemented. linkLocation=https://www.google.com/maps/search/?api=1&amp;query=CCS+Vidra%C3%A7aria+Rua+Ant%C3%B4nio+Cotarelli%2C+629+-+Bairro%3A+Jos%C3%A9+Garcia+Molina+-+Londrina+-+PR+-+CEP%3A+86080-545, friendlyName=Abrir mapa</x:v>
      </x:c>
      <x:c r="L32" s="26"/>
      <x:c r="M32" s="29"/>
      <x:c r="N32" s="20"/>
      <x:c r="O32" s="20" t="str">
        <x:v>NÃO IDENTIFICADO</x:v>
      </x:c>
      <x:c r="P32" s="20" t="str">
        <x:v>NÃO APLICÁVEL</x:v>
      </x:c>
      <x:c r="Q32" s="32"/>
      <x:c r="R32" s="20" t="str">
        <x:v>NÃO IDENTIFICADA</x:v>
      </x:c>
      <x:c r="S32" s="20"/>
      <x:c r="T32" s="20"/>
      <x:c r="U32" s="20" t="str">
        <x:v>NÃO IDENTIFICADO</x:v>
      </x:c>
      <x:c r="V32" s="20" t="str">
        <x:v>NÃO IDENTIFICADO</x:v>
      </x:c>
      <x:c r="W32" s="20" t="str">
        <x:v>NÃO IDENTIFICADO</x:v>
      </x:c>
      <x:c r="X32" s="23" t="str">
        <x:v>Vidros, espelhos, boxes e esquadrias (categoria pública; confirmar escopo diretamente).</x:v>
      </x:c>
      <x:c r="Y32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2" s="23" t="str">
        <x:v>Se confirmado, landing page/site institucional com portfólio. Catálogo visual com pedido de orçamento. Formulário qualificado e integração com WhatsApp/CRM.</x:v>
      </x:c>
      <x:c r="AA32" s="23" t="str">
        <x:v>Apresentar um protótipo curto para vidraçarias, destacar portfólio e orçamento no celular, e pedir confirmação do processo atual antes de afirmar qualquer problema interno.</x:v>
      </x:c>
      <x:c r="AB32" s="23" t="str">
        <x:v>Nome, endereço e telefone publicados no diretório indicado em Fontes.</x:v>
      </x:c>
      <x:c r="AC32" s="35" t="n">
        <x:v>33</x:v>
      </x:c>
      <x:c r="AD32" s="23" t="str">
        <x:v>Prioridade D — Baixa</x:v>
      </x:c>
      <x:c r="AE32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2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2" s="23"/>
      <x:c r="AH32" s="23"/>
      <x:c r="AI32" s="38" t="d">
        <x:v>2026-10-18T15:00:00.000Z</x:v>
      </x:c>
      <x:c r="AJ32" s="20" t="str">
        <x:v>não contatado</x:v>
      </x:c>
      <x:c r="AK32" s="20" t="str"/>
      <x:c r="AL32" s="41"/>
      <x:c r="AM32" s="41"/>
    </x:row>
    <x:row r="33">
      <x:c r="A33" s="20" t="str">
        <x:v>0d25edcd39e4</x:v>
      </x:c>
      <x:c r="B33" s="20" t="str">
        <x:v>Catavento Vidros E Esquadrias</x:v>
      </x:c>
      <x:c r="C33" s="20" t="str">
        <x:v>Vidraçarias</x:v>
      </x:c>
      <x:c r="D33" s="23" t="str">
        <x:v>Avenida Juscelino Kubitschek, 1973 - Bairro: Vila Ipiranga - Londrina - PR - CEP: 86020-001</x:v>
      </x:c>
      <x:c r="E33" s="23" t="str">
        <x:v>Vila Ipiranga</x:v>
      </x:c>
      <x:c r="F33" s="20" t="str">
        <x:v>Londrina</x:v>
      </x:c>
      <x:c r="G33" s="20" t="str">
        <x:v>PR</x:v>
      </x:c>
      <x:c r="H33" s="20" t="str">
        <x:v>(43) 3344-2609</x:v>
      </x:c>
      <x:c r="I33" s="20" t="str">
        <x:v>NÃO IDENTIFICADO</x:v>
      </x:c>
      <x:c r="J33" s="20" t="str"/>
      <x:c r="K33" s="20" t="e">
        <x:f>HYPERLINK("https://www.google.com/maps/search/?api=1&amp;query=Catavento+Vidros+E+Esquadrias+Avenida+Juscelino+Kubitschek%2C+1973+-+Bairro%3A+Vila+Ipiranga+-+Londrina+-+PR+-+CEP%3A+86020-001","Abrir mapa")</x:f>
        <x:v>HYPERLINK is not implemented. linkLocation=https://www.google.com/maps/search/?api=1&amp;query=Catavento+Vidros+E+Esquadrias+Avenida+Juscelino+Kubitschek%2C+1973+-+Bairro%3A+Vila+Ipiranga+-+Londrina+-+PR+-+CEP%3A+86020-001, friendlyName=Abrir mapa</x:v>
      </x:c>
      <x:c r="L33" s="26"/>
      <x:c r="M33" s="29"/>
      <x:c r="N33" s="20"/>
      <x:c r="O33" s="20" t="str">
        <x:v>NÃO IDENTIFICADO</x:v>
      </x:c>
      <x:c r="P33" s="20" t="str">
        <x:v>NÃO APLICÁVEL</x:v>
      </x:c>
      <x:c r="Q33" s="32"/>
      <x:c r="R33" s="20" t="str">
        <x:v>NÃO IDENTIFICADA</x:v>
      </x:c>
      <x:c r="S33" s="20"/>
      <x:c r="T33" s="20"/>
      <x:c r="U33" s="20" t="str">
        <x:v>NÃO IDENTIFICADO</x:v>
      </x:c>
      <x:c r="V33" s="20" t="str">
        <x:v>NÃO IDENTIFICADO</x:v>
      </x:c>
      <x:c r="W33" s="20" t="str">
        <x:v>NÃO IDENTIFICADO</x:v>
      </x:c>
      <x:c r="X33" s="23" t="str">
        <x:v>Vidros, espelhos, boxes e esquadrias (categoria pública; confirmar escopo diretamente).</x:v>
      </x:c>
      <x:c r="Y33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3" s="23" t="str">
        <x:v>Se confirmado, landing page/site institucional com portfólio. Catálogo visual com pedido de orçamento. Formulário qualificado e integração com WhatsApp/CRM.</x:v>
      </x:c>
      <x:c r="AA33" s="23" t="str">
        <x:v>Apresentar um protótipo curto para vidraçarias, destacar portfólio e orçamento no celular, e pedir confirmação do processo atual antes de afirmar qualquer problema interno.</x:v>
      </x:c>
      <x:c r="AB33" s="23" t="str">
        <x:v>Nome, endereço e telefone publicados no diretório indicado em Fontes.</x:v>
      </x:c>
      <x:c r="AC33" s="35" t="n">
        <x:v>33</x:v>
      </x:c>
      <x:c r="AD33" s="23" t="str">
        <x:v>Prioridade D — Baixa</x:v>
      </x:c>
      <x:c r="AE33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3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3" s="23"/>
      <x:c r="AH33" s="23"/>
      <x:c r="AI33" s="38" t="d">
        <x:v>2026-10-18T15:00:00.000Z</x:v>
      </x:c>
      <x:c r="AJ33" s="20" t="str">
        <x:v>não contatado</x:v>
      </x:c>
      <x:c r="AK33" s="20" t="str"/>
      <x:c r="AL33" s="41"/>
      <x:c r="AM33" s="41"/>
    </x:row>
    <x:row r="34">
      <x:c r="A34" s="20" t="str">
        <x:v>b101e6292fc5</x:v>
      </x:c>
      <x:c r="B34" s="20" t="str">
        <x:v>Cavassani &amp; Goncalves</x:v>
      </x:c>
      <x:c r="C34" s="20" t="str">
        <x:v>Vidraçarias</x:v>
      </x:c>
      <x:c r="D34" s="23" t="str">
        <x:v>Avenida Higienópolis, 2500 - Loja 2 - Bairro: Guanabara - Londrina - PR - CEP: 86050-000</x:v>
      </x:c>
      <x:c r="E34" s="23" t="str">
        <x:v>Guanabara</x:v>
      </x:c>
      <x:c r="F34" s="20" t="str">
        <x:v>Londrina</x:v>
      </x:c>
      <x:c r="G34" s="20" t="str">
        <x:v>PR</x:v>
      </x:c>
      <x:c r="H34" s="20" t="str">
        <x:v>(43) 3326-8480</x:v>
      </x:c>
      <x:c r="I34" s="20" t="str">
        <x:v>NÃO IDENTIFICADO</x:v>
      </x:c>
      <x:c r="J34" s="20" t="str"/>
      <x:c r="K34" s="20" t="e">
        <x:f>HYPERLINK("https://www.google.com/maps/search/?api=1&amp;query=Cavassani+%26+Goncalves+Avenida+Higien%C3%B3polis%2C+2500+-+Loja+2+-+Bairro%3A+Guanabara+-+Londrina+-+PR+-+CEP%3A+86050-000","Abrir mapa")</x:f>
        <x:v>HYPERLINK is not implemented. linkLocation=https://www.google.com/maps/search/?api=1&amp;query=Cavassani+%26+Goncalves+Avenida+Higien%C3%B3polis%2C+2500+-+Loja+2+-+Bairro%3A+Guanabara+-+Londrina+-+PR+-+CEP%3A+86050-000, friendlyName=Abrir mapa</x:v>
      </x:c>
      <x:c r="L34" s="26"/>
      <x:c r="M34" s="29"/>
      <x:c r="N34" s="20"/>
      <x:c r="O34" s="20" t="str">
        <x:v>NÃO IDENTIFICADO</x:v>
      </x:c>
      <x:c r="P34" s="20" t="str">
        <x:v>NÃO APLICÁVEL</x:v>
      </x:c>
      <x:c r="Q34" s="32"/>
      <x:c r="R34" s="20" t="str">
        <x:v>NÃO IDENTIFICADA</x:v>
      </x:c>
      <x:c r="S34" s="20"/>
      <x:c r="T34" s="20"/>
      <x:c r="U34" s="20" t="str">
        <x:v>NÃO IDENTIFICADO</x:v>
      </x:c>
      <x:c r="V34" s="20" t="str">
        <x:v>NÃO IDENTIFICADO</x:v>
      </x:c>
      <x:c r="W34" s="20" t="str">
        <x:v>NÃO IDENTIFICADO</x:v>
      </x:c>
      <x:c r="X34" s="23" t="str">
        <x:v>Vidros, espelhos, boxes e esquadrias (categoria pública; confirmar escopo diretamente).</x:v>
      </x:c>
      <x:c r="Y34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4" s="23" t="str">
        <x:v>Se confirmado, landing page/site institucional com portfólio. Catálogo visual com pedido de orçamento. Formulário qualificado e integração com WhatsApp/CRM.</x:v>
      </x:c>
      <x:c r="AA34" s="23" t="str">
        <x:v>Apresentar um protótipo curto para vidraçarias, destacar portfólio e orçamento no celular, e pedir confirmação do processo atual antes de afirmar qualquer problema interno.</x:v>
      </x:c>
      <x:c r="AB34" s="23" t="str">
        <x:v>Nome, endereço e telefone publicados no diretório indicado em Fontes.</x:v>
      </x:c>
      <x:c r="AC34" s="35" t="n">
        <x:v>33</x:v>
      </x:c>
      <x:c r="AD34" s="23" t="str">
        <x:v>Prioridade D — Baixa</x:v>
      </x:c>
      <x:c r="AE34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4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4" s="23"/>
      <x:c r="AH34" s="23"/>
      <x:c r="AI34" s="38" t="d">
        <x:v>2026-10-18T15:00:00.000Z</x:v>
      </x:c>
      <x:c r="AJ34" s="20" t="str">
        <x:v>não contatado</x:v>
      </x:c>
      <x:c r="AK34" s="20" t="str"/>
      <x:c r="AL34" s="41"/>
      <x:c r="AM34" s="41"/>
    </x:row>
    <x:row r="35">
      <x:c r="A35" s="20" t="str">
        <x:v>82bf537f9ea0</x:v>
      </x:c>
      <x:c r="B35" s="20" t="str">
        <x:v>Cleide Suavi Gurgel</x:v>
      </x:c>
      <x:c r="C35" s="20" t="str">
        <x:v>Vidraçarias</x:v>
      </x:c>
      <x:c r="D35" s="23" t="str">
        <x:v>Rua Guaporé, 549 - Bairro: Palmares - Londrina - PR - CEP: 86025-000</x:v>
      </x:c>
      <x:c r="E35" s="23" t="str">
        <x:v>Palmares</x:v>
      </x:c>
      <x:c r="F35" s="20" t="str">
        <x:v>Londrina</x:v>
      </x:c>
      <x:c r="G35" s="20" t="str">
        <x:v>PR</x:v>
      </x:c>
      <x:c r="H35" s="20" t="str">
        <x:v>(43) 3321-3899</x:v>
      </x:c>
      <x:c r="I35" s="20" t="str">
        <x:v>NÃO IDENTIFICADO</x:v>
      </x:c>
      <x:c r="J35" s="20" t="str"/>
      <x:c r="K35" s="20" t="e">
        <x:f>HYPERLINK("https://www.google.com/maps/search/?api=1&amp;query=Cleide+Suavi+Gurgel+Rua+Guapor%C3%A9%2C+549+-+Bairro%3A+Palmares+-+Londrina+-+PR+-+CEP%3A+86025-000","Abrir mapa")</x:f>
        <x:v>HYPERLINK is not implemented. linkLocation=https://www.google.com/maps/search/?api=1&amp;query=Cleide+Suavi+Gurgel+Rua+Guapor%C3%A9%2C+549+-+Bairro%3A+Palmares+-+Londrina+-+PR+-+CEP%3A+86025-000, friendlyName=Abrir mapa</x:v>
      </x:c>
      <x:c r="L35" s="26"/>
      <x:c r="M35" s="29"/>
      <x:c r="N35" s="20"/>
      <x:c r="O35" s="20" t="str">
        <x:v>NÃO IDENTIFICADO</x:v>
      </x:c>
      <x:c r="P35" s="20" t="str">
        <x:v>NÃO APLICÁVEL</x:v>
      </x:c>
      <x:c r="Q35" s="32"/>
      <x:c r="R35" s="20" t="str">
        <x:v>NÃO IDENTIFICADA</x:v>
      </x:c>
      <x:c r="S35" s="20"/>
      <x:c r="T35" s="20"/>
      <x:c r="U35" s="20" t="str">
        <x:v>NÃO IDENTIFICADO</x:v>
      </x:c>
      <x:c r="V35" s="20" t="str">
        <x:v>NÃO IDENTIFICADO</x:v>
      </x:c>
      <x:c r="W35" s="20" t="str">
        <x:v>NÃO IDENTIFICADO</x:v>
      </x:c>
      <x:c r="X35" s="23" t="str">
        <x:v>Vidros, espelhos, boxes e esquadrias (categoria pública; confirmar escopo diretamente).</x:v>
      </x:c>
      <x:c r="Y35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5" s="23" t="str">
        <x:v>Se confirmado, landing page/site institucional com portfólio. Catálogo visual com pedido de orçamento. Formulário qualificado e integração com WhatsApp/CRM.</x:v>
      </x:c>
      <x:c r="AA35" s="23" t="str">
        <x:v>Apresentar um protótipo curto para vidraçarias, destacar portfólio e orçamento no celular, e pedir confirmação do processo atual antes de afirmar qualquer problema interno.</x:v>
      </x:c>
      <x:c r="AB35" s="23" t="str">
        <x:v>Nome, endereço e telefone publicados no diretório indicado em Fontes.</x:v>
      </x:c>
      <x:c r="AC35" s="35" t="n">
        <x:v>33</x:v>
      </x:c>
      <x:c r="AD35" s="23" t="str">
        <x:v>Prioridade D — Baixa</x:v>
      </x:c>
      <x:c r="AE35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5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5" s="23"/>
      <x:c r="AH35" s="23"/>
      <x:c r="AI35" s="38" t="d">
        <x:v>2026-10-18T15:00:00.000Z</x:v>
      </x:c>
      <x:c r="AJ35" s="20" t="str">
        <x:v>não contatado</x:v>
      </x:c>
      <x:c r="AK35" s="20" t="str"/>
      <x:c r="AL35" s="41"/>
      <x:c r="AM35" s="41"/>
    </x:row>
    <x:row r="36">
      <x:c r="A36" s="20" t="str">
        <x:v>122c5673442e</x:v>
      </x:c>
      <x:c r="B36" s="20" t="str">
        <x:v>Coscrato &amp; Coscrato</x:v>
      </x:c>
      <x:c r="C36" s="20" t="str">
        <x:v>Vidraçarias</x:v>
      </x:c>
      <x:c r="D36" s="23" t="str">
        <x:v>Rua Lourenço da Veiga, 600 - Bairro: Sabará I - Londrina - PR - CEP: 86066-130</x:v>
      </x:c>
      <x:c r="E36" s="23" t="str">
        <x:v>Sabará I</x:v>
      </x:c>
      <x:c r="F36" s="20" t="str">
        <x:v>Londrina</x:v>
      </x:c>
      <x:c r="G36" s="20" t="str">
        <x:v>PR</x:v>
      </x:c>
      <x:c r="H36" s="20" t="str">
        <x:v>(43) 3028-9779</x:v>
      </x:c>
      <x:c r="I36" s="20" t="str">
        <x:v>NÃO IDENTIFICADO</x:v>
      </x:c>
      <x:c r="J36" s="20" t="str"/>
      <x:c r="K36" s="20" t="e">
        <x:f>HYPERLINK("https://www.google.com/maps/search/?api=1&amp;query=Coscrato+%26+Coscrato+Rua+Louren%C3%A7o+da+Veiga%2C+600+-+Bairro%3A+Sabar%C3%A1+I+-+Londrina+-+PR+-+CEP%3A+86066-130","Abrir mapa")</x:f>
        <x:v>HYPERLINK is not implemented. linkLocation=https://www.google.com/maps/search/?api=1&amp;query=Coscrato+%26+Coscrato+Rua+Louren%C3%A7o+da+Veiga%2C+600+-+Bairro%3A+Sabar%C3%A1+I+-+Londrina+-+PR+-+CEP%3A+86066-130, friendlyName=Abrir mapa</x:v>
      </x:c>
      <x:c r="L36" s="26"/>
      <x:c r="M36" s="29"/>
      <x:c r="N36" s="20"/>
      <x:c r="O36" s="20" t="str">
        <x:v>NÃO IDENTIFICADO</x:v>
      </x:c>
      <x:c r="P36" s="20" t="str">
        <x:v>NÃO APLICÁVEL</x:v>
      </x:c>
      <x:c r="Q36" s="32"/>
      <x:c r="R36" s="20" t="str">
        <x:v>NÃO IDENTIFICADA</x:v>
      </x:c>
      <x:c r="S36" s="20"/>
      <x:c r="T36" s="20"/>
      <x:c r="U36" s="20" t="str">
        <x:v>NÃO IDENTIFICADO</x:v>
      </x:c>
      <x:c r="V36" s="20" t="str">
        <x:v>NÃO IDENTIFICADO</x:v>
      </x:c>
      <x:c r="W36" s="20" t="str">
        <x:v>NÃO IDENTIFICADO</x:v>
      </x:c>
      <x:c r="X36" s="23" t="str">
        <x:v>Vidros, espelhos, boxes e esquadrias (categoria pública; confirmar escopo diretamente).</x:v>
      </x:c>
      <x:c r="Y36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6" s="23" t="str">
        <x:v>Se confirmado, landing page/site institucional com portfólio. Catálogo visual com pedido de orçamento. Formulário qualificado e integração com WhatsApp/CRM.</x:v>
      </x:c>
      <x:c r="AA36" s="23" t="str">
        <x:v>Apresentar um protótipo curto para vidraçarias, destacar portfólio e orçamento no celular, e pedir confirmação do processo atual antes de afirmar qualquer problema interno.</x:v>
      </x:c>
      <x:c r="AB36" s="23" t="str">
        <x:v>Nome, endereço e telefone publicados no diretório indicado em Fontes.</x:v>
      </x:c>
      <x:c r="AC36" s="35" t="n">
        <x:v>33</x:v>
      </x:c>
      <x:c r="AD36" s="23" t="str">
        <x:v>Prioridade D — Baixa</x:v>
      </x:c>
      <x:c r="AE36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6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6" s="23"/>
      <x:c r="AH36" s="23"/>
      <x:c r="AI36" s="38" t="d">
        <x:v>2026-10-18T15:00:00.000Z</x:v>
      </x:c>
      <x:c r="AJ36" s="20" t="str">
        <x:v>não contatado</x:v>
      </x:c>
      <x:c r="AK36" s="20" t="str"/>
      <x:c r="AL36" s="41"/>
      <x:c r="AM36" s="41"/>
    </x:row>
    <x:row r="37">
      <x:c r="A37" s="20" t="str">
        <x:v>18b1edfb84f7</x:v>
      </x:c>
      <x:c r="B37" s="20" t="str">
        <x:v>Cuiabá Vidros</x:v>
      </x:c>
      <x:c r="C37" s="20" t="str">
        <x:v>Vidraçarias</x:v>
      </x:c>
      <x:c r="D37" s="23" t="str">
        <x:v>Rua Cuiabá, 193 - Bairro: Portuguesa - Londrina - PR - CEP: 86026-060</x:v>
      </x:c>
      <x:c r="E37" s="23" t="str">
        <x:v>Portuguesa</x:v>
      </x:c>
      <x:c r="F37" s="20" t="str">
        <x:v>Londrina</x:v>
      </x:c>
      <x:c r="G37" s="20" t="str">
        <x:v>PR</x:v>
      </x:c>
      <x:c r="H37" s="20" t="str">
        <x:v>(43) 3324-2266</x:v>
      </x:c>
      <x:c r="I37" s="20" t="str">
        <x:v>NÃO IDENTIFICADO</x:v>
      </x:c>
      <x:c r="J37" s="20" t="str"/>
      <x:c r="K37" s="20" t="e">
        <x:f>HYPERLINK("https://www.google.com/maps/search/?api=1&amp;query=Cuiab%C3%A1+Vidros+Rua+Cuiab%C3%A1%2C+193+-+Bairro%3A+Portuguesa+-+Londrina+-+PR+-+CEP%3A+86026-060","Abrir mapa")</x:f>
        <x:v>HYPERLINK is not implemented. linkLocation=https://www.google.com/maps/search/?api=1&amp;query=Cuiab%C3%A1+Vidros+Rua+Cuiab%C3%A1%2C+193+-+Bairro%3A+Portuguesa+-+Londrina+-+PR+-+CEP%3A+86026-060, friendlyName=Abrir mapa</x:v>
      </x:c>
      <x:c r="L37" s="26"/>
      <x:c r="M37" s="29"/>
      <x:c r="N37" s="20"/>
      <x:c r="O37" s="20" t="str">
        <x:v>NÃO IDENTIFICADO</x:v>
      </x:c>
      <x:c r="P37" s="20" t="str">
        <x:v>NÃO APLICÁVEL</x:v>
      </x:c>
      <x:c r="Q37" s="32"/>
      <x:c r="R37" s="20" t="str">
        <x:v>NÃO IDENTIFICADA</x:v>
      </x:c>
      <x:c r="S37" s="20"/>
      <x:c r="T37" s="20"/>
      <x:c r="U37" s="20" t="str">
        <x:v>NÃO IDENTIFICADO</x:v>
      </x:c>
      <x:c r="V37" s="20" t="str">
        <x:v>NÃO IDENTIFICADO</x:v>
      </x:c>
      <x:c r="W37" s="20" t="str">
        <x:v>NÃO IDENTIFICADO</x:v>
      </x:c>
      <x:c r="X37" s="23" t="str">
        <x:v>Vidros, espelhos, boxes e esquadrias (categoria pública; confirmar escopo diretamente).</x:v>
      </x:c>
      <x:c r="Y37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7" s="23" t="str">
        <x:v>Se confirmado, landing page/site institucional com portfólio. Catálogo visual com pedido de orçamento. Formulário qualificado e integração com WhatsApp/CRM.</x:v>
      </x:c>
      <x:c r="AA37" s="23" t="str">
        <x:v>Apresentar um protótipo curto para vidraçarias, destacar portfólio e orçamento no celular, e pedir confirmação do processo atual antes de afirmar qualquer problema interno.</x:v>
      </x:c>
      <x:c r="AB37" s="23" t="str">
        <x:v>Nome, endereço e telefone publicados no diretório indicado em Fontes.</x:v>
      </x:c>
      <x:c r="AC37" s="35" t="n">
        <x:v>33</x:v>
      </x:c>
      <x:c r="AD37" s="23" t="str">
        <x:v>Prioridade D — Baixa</x:v>
      </x:c>
      <x:c r="AE37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7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7" s="23"/>
      <x:c r="AH37" s="23"/>
      <x:c r="AI37" s="38" t="d">
        <x:v>2026-10-18T15:00:00.000Z</x:v>
      </x:c>
      <x:c r="AJ37" s="20" t="str">
        <x:v>não contatado</x:v>
      </x:c>
      <x:c r="AK37" s="20" t="str"/>
      <x:c r="AL37" s="41"/>
      <x:c r="AM37" s="41"/>
    </x:row>
    <x:row r="38">
      <x:c r="A38" s="20" t="str">
        <x:v>d6276940e973</x:v>
      </x:c>
      <x:c r="B38" s="20" t="str">
        <x:v>Diamante Vidraçaria</x:v>
      </x:c>
      <x:c r="C38" s="20" t="str">
        <x:v>Vidraçarias</x:v>
      </x:c>
      <x:c r="D38" s="23" t="str">
        <x:v>Avenida Presidente Eurico Gaspar Dutra, 900 - Bairro: Conjunto Cafezal 1 - Londrina - PR - CEP: 86049-000</x:v>
      </x:c>
      <x:c r="E38" s="23" t="str">
        <x:v>Conjunto Cafezal 1</x:v>
      </x:c>
      <x:c r="F38" s="20" t="str">
        <x:v>Londrina</x:v>
      </x:c>
      <x:c r="G38" s="20" t="str">
        <x:v>PR</x:v>
      </x:c>
      <x:c r="H38" s="20" t="str">
        <x:v>(43) 3342-7973</x:v>
      </x:c>
      <x:c r="I38" s="20" t="str">
        <x:v>NÃO IDENTIFICADO</x:v>
      </x:c>
      <x:c r="J38" s="20" t="str"/>
      <x:c r="K38" s="20" t="e">
        <x:f>HYPERLINK("https://www.google.com/maps/search/?api=1&amp;query=Diamante+Vidra%C3%A7aria+Avenida+Presidente+Eurico+Gaspar+Dutra%2C+900+-+Bairro%3A+Conjunto+Cafezal+1+-+Londrina+-+PR+-+CEP%3A+86049-000","Abrir mapa")</x:f>
        <x:v>HYPERLINK is not implemented. linkLocation=https://www.google.com/maps/search/?api=1&amp;query=Diamante+Vidra%C3%A7aria+Avenida+Presidente+Eurico+Gaspar+Dutra%2C+900+-+Bairro%3A+Conjunto+Cafezal+1+-+Londrina+-+PR+-+CEP%3A+86049-000, friendlyName=Abrir mapa</x:v>
      </x:c>
      <x:c r="L38" s="26"/>
      <x:c r="M38" s="29"/>
      <x:c r="N38" s="20"/>
      <x:c r="O38" s="20" t="str">
        <x:v>NÃO IDENTIFICADO</x:v>
      </x:c>
      <x:c r="P38" s="20" t="str">
        <x:v>NÃO APLICÁVEL</x:v>
      </x:c>
      <x:c r="Q38" s="32"/>
      <x:c r="R38" s="20" t="str">
        <x:v>NÃO IDENTIFICADA</x:v>
      </x:c>
      <x:c r="S38" s="20"/>
      <x:c r="T38" s="20"/>
      <x:c r="U38" s="20" t="str">
        <x:v>NÃO IDENTIFICADO</x:v>
      </x:c>
      <x:c r="V38" s="20" t="str">
        <x:v>NÃO IDENTIFICADO</x:v>
      </x:c>
      <x:c r="W38" s="20" t="str">
        <x:v>NÃO IDENTIFICADO</x:v>
      </x:c>
      <x:c r="X38" s="23" t="str">
        <x:v>Vidros, espelhos, boxes e esquadrias (categoria pública; confirmar escopo diretamente).</x:v>
      </x:c>
      <x:c r="Y38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8" s="23" t="str">
        <x:v>Se confirmado, landing page/site institucional com portfólio. Catálogo visual com pedido de orçamento. Formulário qualificado e integração com WhatsApp/CRM.</x:v>
      </x:c>
      <x:c r="AA38" s="23" t="str">
        <x:v>Apresentar um protótipo curto para vidraçarias, destacar portfólio e orçamento no celular, e pedir confirmação do processo atual antes de afirmar qualquer problema interno.</x:v>
      </x:c>
      <x:c r="AB38" s="23" t="str">
        <x:v>Nome, endereço e telefone publicados no diretório indicado em Fontes.</x:v>
      </x:c>
      <x:c r="AC38" s="35" t="n">
        <x:v>33</x:v>
      </x:c>
      <x:c r="AD38" s="23" t="str">
        <x:v>Prioridade D — Baixa</x:v>
      </x:c>
      <x:c r="AE38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8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8" s="23"/>
      <x:c r="AH38" s="23"/>
      <x:c r="AI38" s="38" t="d">
        <x:v>2026-10-18T15:00:00.000Z</x:v>
      </x:c>
      <x:c r="AJ38" s="20" t="str">
        <x:v>não contatado</x:v>
      </x:c>
      <x:c r="AK38" s="20" t="str"/>
      <x:c r="AL38" s="41"/>
      <x:c r="AM38" s="41"/>
    </x:row>
    <x:row r="39">
      <x:c r="A39" s="20" t="str">
        <x:v>1de733af7d63</x:v>
      </x:c>
      <x:c r="B39" s="20" t="str">
        <x:v>Digiatti Vidraçaria</x:v>
      </x:c>
      <x:c r="C39" s="20" t="str">
        <x:v>Vidraçarias</x:v>
      </x:c>
      <x:c r="D39" s="23" t="str">
        <x:v>Avenida Juscelino Kubitschek, 4550 - Bairro: Vila Penteriche - Londrina - PR - CEP: 86039-120</x:v>
      </x:c>
      <x:c r="E39" s="23" t="str">
        <x:v>Vila Penteriche</x:v>
      </x:c>
      <x:c r="F39" s="20" t="str">
        <x:v>Londrina</x:v>
      </x:c>
      <x:c r="G39" s="20" t="str">
        <x:v>PR</x:v>
      </x:c>
      <x:c r="H39" s="20" t="str">
        <x:v>(43) 3324-7725</x:v>
      </x:c>
      <x:c r="I39" s="20" t="str">
        <x:v>NÃO IDENTIFICADO</x:v>
      </x:c>
      <x:c r="J39" s="20" t="str"/>
      <x:c r="K39" s="20" t="e">
        <x:f>HYPERLINK("https://www.google.com/maps/search/?api=1&amp;query=Digiatti+Vidra%C3%A7aria+Avenida+Juscelino+Kubitschek%2C+4550+-+Bairro%3A+Vila+Penteriche+-+Londrina+-+PR+-+CEP%3A+86039-120","Abrir mapa")</x:f>
        <x:v>HYPERLINK is not implemented. linkLocation=https://www.google.com/maps/search/?api=1&amp;query=Digiatti+Vidra%C3%A7aria+Avenida+Juscelino+Kubitschek%2C+4550+-+Bairro%3A+Vila+Penteriche+-+Londrina+-+PR+-+CEP%3A+86039-120, friendlyName=Abrir mapa</x:v>
      </x:c>
      <x:c r="L39" s="26"/>
      <x:c r="M39" s="29"/>
      <x:c r="N39" s="20"/>
      <x:c r="O39" s="20" t="str">
        <x:v>NÃO IDENTIFICADO</x:v>
      </x:c>
      <x:c r="P39" s="20" t="str">
        <x:v>NÃO APLICÁVEL</x:v>
      </x:c>
      <x:c r="Q39" s="32"/>
      <x:c r="R39" s="20" t="str">
        <x:v>NÃO IDENTIFICADA</x:v>
      </x:c>
      <x:c r="S39" s="20"/>
      <x:c r="T39" s="20"/>
      <x:c r="U39" s="20" t="str">
        <x:v>NÃO IDENTIFICADO</x:v>
      </x:c>
      <x:c r="V39" s="20" t="str">
        <x:v>NÃO IDENTIFICADO</x:v>
      </x:c>
      <x:c r="W39" s="20" t="str">
        <x:v>NÃO IDENTIFICADO</x:v>
      </x:c>
      <x:c r="X39" s="23" t="str">
        <x:v>Vidros, espelhos, boxes e esquadrias (categoria pública; confirmar escopo diretamente).</x:v>
      </x:c>
      <x:c r="Y39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39" s="23" t="str">
        <x:v>Se confirmado, landing page/site institucional com portfólio. Catálogo visual com pedido de orçamento. Formulário qualificado e integração com WhatsApp/CRM.</x:v>
      </x:c>
      <x:c r="AA39" s="23" t="str">
        <x:v>Apresentar um protótipo curto para vidraçarias, destacar portfólio e orçamento no celular, e pedir confirmação do processo atual antes de afirmar qualquer problema interno.</x:v>
      </x:c>
      <x:c r="AB39" s="23" t="str">
        <x:v>Nome, endereço e telefone publicados no diretório indicado em Fontes.</x:v>
      </x:c>
      <x:c r="AC39" s="35" t="n">
        <x:v>33</x:v>
      </x:c>
      <x:c r="AD39" s="23" t="str">
        <x:v>Prioridade D — Baixa</x:v>
      </x:c>
      <x:c r="AE39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39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39" s="23"/>
      <x:c r="AH39" s="23"/>
      <x:c r="AI39" s="38" t="d">
        <x:v>2026-10-18T15:00:00.000Z</x:v>
      </x:c>
      <x:c r="AJ39" s="20" t="str">
        <x:v>não contatado</x:v>
      </x:c>
      <x:c r="AK39" s="20" t="str"/>
      <x:c r="AL39" s="41"/>
      <x:c r="AM39" s="41"/>
    </x:row>
    <x:row r="40">
      <x:c r="A40" s="20" t="str">
        <x:v>e629c93864d9</x:v>
      </x:c>
      <x:c r="B40" s="20" t="str">
        <x:v>Gerson Wosiack &amp; Cia</x:v>
      </x:c>
      <x:c r="C40" s="20" t="str">
        <x:v>Vidraçarias</x:v>
      </x:c>
      <x:c r="D40" s="23" t="str">
        <x:v>Rua Félix Chenso, 370 - Bairro: Conjunto Semiramis B Braga - Londrina - PR - CEP: 86088-040</x:v>
      </x:c>
      <x:c r="E40" s="23" t="str">
        <x:v>Conjunto Semiramis B Braga</x:v>
      </x:c>
      <x:c r="F40" s="20" t="str">
        <x:v>Londrina</x:v>
      </x:c>
      <x:c r="G40" s="20" t="str">
        <x:v>PR</x:v>
      </x:c>
      <x:c r="H40" s="20" t="str">
        <x:v>(43) 3329-7589</x:v>
      </x:c>
      <x:c r="I40" s="20" t="str">
        <x:v>NÃO IDENTIFICADO</x:v>
      </x:c>
      <x:c r="J40" s="20" t="str"/>
      <x:c r="K40" s="20" t="e">
        <x:f>HYPERLINK("https://www.google.com/maps/search/?api=1&amp;query=Gerson+Wosiack+%26+Cia+Rua+F%C3%A9lix+Chenso%2C+370+-+Bairro%3A+Conjunto+Semiramis+B+Braga+-+Londrina+-+PR+-+CEP%3A+86088-040","Abrir mapa")</x:f>
        <x:v>HYPERLINK is not implemented. linkLocation=https://www.google.com/maps/search/?api=1&amp;query=Gerson+Wosiack+%26+Cia+Rua+F%C3%A9lix+Chenso%2C+370+-+Bairro%3A+Conjunto+Semiramis+B+Braga+-+Londrina+-+PR+-+CEP%3A+86088-040, friendlyName=Abrir mapa</x:v>
      </x:c>
      <x:c r="L40" s="26"/>
      <x:c r="M40" s="29"/>
      <x:c r="N40" s="20"/>
      <x:c r="O40" s="20" t="str">
        <x:v>NÃO IDENTIFICADO</x:v>
      </x:c>
      <x:c r="P40" s="20" t="str">
        <x:v>NÃO APLICÁVEL</x:v>
      </x:c>
      <x:c r="Q40" s="32"/>
      <x:c r="R40" s="20" t="str">
        <x:v>NÃO IDENTIFICADA</x:v>
      </x:c>
      <x:c r="S40" s="20"/>
      <x:c r="T40" s="20"/>
      <x:c r="U40" s="20" t="str">
        <x:v>NÃO IDENTIFICADO</x:v>
      </x:c>
      <x:c r="V40" s="20" t="str">
        <x:v>NÃO IDENTIFICADO</x:v>
      </x:c>
      <x:c r="W40" s="20" t="str">
        <x:v>NÃO IDENTIFICADO</x:v>
      </x:c>
      <x:c r="X40" s="23" t="str">
        <x:v>Vidros, espelhos, boxes e esquadrias (categoria pública; confirmar escopo diretamente).</x:v>
      </x:c>
      <x:c r="Y40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0" s="23" t="str">
        <x:v>Se confirmado, landing page/site institucional com portfólio. Catálogo visual com pedido de orçamento. Formulário qualificado e integração com WhatsApp/CRM.</x:v>
      </x:c>
      <x:c r="AA40" s="23" t="str">
        <x:v>Apresentar um protótipo curto para vidraçarias, destacar portfólio e orçamento no celular, e pedir confirmação do processo atual antes de afirmar qualquer problema interno.</x:v>
      </x:c>
      <x:c r="AB40" s="23" t="str">
        <x:v>Nome, endereço e telefone publicados no diretório indicado em Fontes.</x:v>
      </x:c>
      <x:c r="AC40" s="35" t="n">
        <x:v>33</x:v>
      </x:c>
      <x:c r="AD40" s="23" t="str">
        <x:v>Prioridade D — Baixa</x:v>
      </x:c>
      <x:c r="AE40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0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40" s="23"/>
      <x:c r="AH40" s="23"/>
      <x:c r="AI40" s="38" t="d">
        <x:v>2026-10-18T15:00:00.000Z</x:v>
      </x:c>
      <x:c r="AJ40" s="20" t="str">
        <x:v>não contatado</x:v>
      </x:c>
      <x:c r="AK40" s="20" t="str"/>
      <x:c r="AL40" s="41"/>
      <x:c r="AM40" s="41"/>
    </x:row>
    <x:row r="41">
      <x:c r="A41" s="20" t="str">
        <x:v>248bd9ccc4e5</x:v>
      </x:c>
      <x:c r="B41" s="20" t="str">
        <x:v>Guaporé Vidros e Alumínio</x:v>
      </x:c>
      <x:c r="C41" s="20" t="str">
        <x:v>Vidraçarias</x:v>
      </x:c>
      <x:c r="D41" s="23" t="str">
        <x:v>Rua Cuiabá, 217 - Bairro: Portuguesa - Londrina - PR - CEP: 86026-060</x:v>
      </x:c>
      <x:c r="E41" s="23" t="str">
        <x:v>Portuguesa</x:v>
      </x:c>
      <x:c r="F41" s="20" t="str">
        <x:v>Londrina</x:v>
      </x:c>
      <x:c r="G41" s="20" t="str">
        <x:v>PR</x:v>
      </x:c>
      <x:c r="H41" s="20" t="str">
        <x:v>(43) 3026-8000</x:v>
      </x:c>
      <x:c r="I41" s="20" t="str">
        <x:v>NÃO IDENTIFICADO</x:v>
      </x:c>
      <x:c r="J41" s="20" t="str"/>
      <x:c r="K41" s="20" t="e">
        <x:f>HYPERLINK("https://www.google.com/maps/search/?api=1&amp;query=Guapor%C3%A9+Vidros+e+Alum%C3%ADnio+Rua+Cuiab%C3%A1%2C+217+-+Bairro%3A+Portuguesa+-+Londrina+-+PR+-+CEP%3A+86026-060","Abrir mapa")</x:f>
        <x:v>HYPERLINK is not implemented. linkLocation=https://www.google.com/maps/search/?api=1&amp;query=Guapor%C3%A9+Vidros+e+Alum%C3%ADnio+Rua+Cuiab%C3%A1%2C+217+-+Bairro%3A+Portuguesa+-+Londrina+-+PR+-+CEP%3A+86026-060, friendlyName=Abrir mapa</x:v>
      </x:c>
      <x:c r="L41" s="26"/>
      <x:c r="M41" s="29"/>
      <x:c r="N41" s="20"/>
      <x:c r="O41" s="20" t="str">
        <x:v>NÃO IDENTIFICADO</x:v>
      </x:c>
      <x:c r="P41" s="20" t="str">
        <x:v>NÃO APLICÁVEL</x:v>
      </x:c>
      <x:c r="Q41" s="32"/>
      <x:c r="R41" s="20" t="str">
        <x:v>NÃO IDENTIFICADA</x:v>
      </x:c>
      <x:c r="S41" s="20"/>
      <x:c r="T41" s="20"/>
      <x:c r="U41" s="20" t="str">
        <x:v>NÃO IDENTIFICADO</x:v>
      </x:c>
      <x:c r="V41" s="20" t="str">
        <x:v>NÃO IDENTIFICADO</x:v>
      </x:c>
      <x:c r="W41" s="20" t="str">
        <x:v>NÃO IDENTIFICADO</x:v>
      </x:c>
      <x:c r="X41" s="23" t="str">
        <x:v>Vidros, espelhos, boxes e esquadrias (categoria pública; confirmar escopo diretamente).</x:v>
      </x:c>
      <x:c r="Y41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1" s="23" t="str">
        <x:v>Se confirmado, landing page/site institucional com portfólio. Catálogo visual com pedido de orçamento. Formulário qualificado e integração com WhatsApp/CRM.</x:v>
      </x:c>
      <x:c r="AA41" s="23" t="str">
        <x:v>Apresentar um protótipo curto para vidraçarias, destacar portfólio e orçamento no celular, e pedir confirmação do processo atual antes de afirmar qualquer problema interno.</x:v>
      </x:c>
      <x:c r="AB41" s="23" t="str">
        <x:v>Nome, endereço e telefone publicados no diretório indicado em Fontes.</x:v>
      </x:c>
      <x:c r="AC41" s="35" t="n">
        <x:v>33</x:v>
      </x:c>
      <x:c r="AD41" s="23" t="str">
        <x:v>Prioridade D — Baixa</x:v>
      </x:c>
      <x:c r="AE41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1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41" s="23"/>
      <x:c r="AH41" s="23"/>
      <x:c r="AI41" s="38" t="d">
        <x:v>2026-10-18T15:00:00.000Z</x:v>
      </x:c>
      <x:c r="AJ41" s="20" t="str">
        <x:v>não contatado</x:v>
      </x:c>
      <x:c r="AK41" s="20" t="str"/>
      <x:c r="AL41" s="41"/>
      <x:c r="AM41" s="41"/>
    </x:row>
    <x:row r="42">
      <x:c r="A42" s="20" t="str">
        <x:v>53415a443b69</x:v>
      </x:c>
      <x:c r="B42" s="20" t="str">
        <x:v>Gurgel &amp; Bernardes</x:v>
      </x:c>
      <x:c r="C42" s="20" t="str">
        <x:v>Vidraçarias</x:v>
      </x:c>
      <x:c r="D42" s="23" t="str">
        <x:v>Rua Guaporé, 497 - Bairro: Palmares - Londrina - PR - CEP: 86025-000</x:v>
      </x:c>
      <x:c r="E42" s="23" t="str">
        <x:v>Palmares</x:v>
      </x:c>
      <x:c r="F42" s="20" t="str">
        <x:v>Londrina</x:v>
      </x:c>
      <x:c r="G42" s="20" t="str">
        <x:v>PR</x:v>
      </x:c>
      <x:c r="H42" s="20" t="str">
        <x:v>(43) 3324-4522</x:v>
      </x:c>
      <x:c r="I42" s="20" t="str">
        <x:v>NÃO IDENTIFICADO</x:v>
      </x:c>
      <x:c r="J42" s="20" t="str"/>
      <x:c r="K42" s="20" t="e">
        <x:f>HYPERLINK("https://www.google.com/maps/search/?api=1&amp;query=Gurgel+%26+Bernardes+Rua+Guapor%C3%A9%2C+497+-+Bairro%3A+Palmares+-+Londrina+-+PR+-+CEP%3A+86025-000","Abrir mapa")</x:f>
        <x:v>HYPERLINK is not implemented. linkLocation=https://www.google.com/maps/search/?api=1&amp;query=Gurgel+%26+Bernardes+Rua+Guapor%C3%A9%2C+497+-+Bairro%3A+Palmares+-+Londrina+-+PR+-+CEP%3A+86025-000, friendlyName=Abrir mapa</x:v>
      </x:c>
      <x:c r="L42" s="26"/>
      <x:c r="M42" s="29"/>
      <x:c r="N42" s="20"/>
      <x:c r="O42" s="20" t="str">
        <x:v>NÃO IDENTIFICADO</x:v>
      </x:c>
      <x:c r="P42" s="20" t="str">
        <x:v>NÃO APLICÁVEL</x:v>
      </x:c>
      <x:c r="Q42" s="32"/>
      <x:c r="R42" s="20" t="str">
        <x:v>NÃO IDENTIFICADA</x:v>
      </x:c>
      <x:c r="S42" s="20"/>
      <x:c r="T42" s="20"/>
      <x:c r="U42" s="20" t="str">
        <x:v>NÃO IDENTIFICADO</x:v>
      </x:c>
      <x:c r="V42" s="20" t="str">
        <x:v>NÃO IDENTIFICADO</x:v>
      </x:c>
      <x:c r="W42" s="20" t="str">
        <x:v>NÃO IDENTIFICADO</x:v>
      </x:c>
      <x:c r="X42" s="23" t="str">
        <x:v>Vidros, espelhos, boxes e esquadrias (categoria pública; confirmar escopo diretamente).</x:v>
      </x:c>
      <x:c r="Y42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2" s="23" t="str">
        <x:v>Se confirmado, landing page/site institucional com portfólio. Catálogo visual com pedido de orçamento. Formulário qualificado e integração com WhatsApp/CRM.</x:v>
      </x:c>
      <x:c r="AA42" s="23" t="str">
        <x:v>Apresentar um protótipo curto para vidraçarias, destacar portfólio e orçamento no celular, e pedir confirmação do processo atual antes de afirmar qualquer problema interno.</x:v>
      </x:c>
      <x:c r="AB42" s="23" t="str">
        <x:v>Nome, endereço e telefone publicados no diretório indicado em Fontes.</x:v>
      </x:c>
      <x:c r="AC42" s="35" t="n">
        <x:v>33</x:v>
      </x:c>
      <x:c r="AD42" s="23" t="str">
        <x:v>Prioridade D — Baixa</x:v>
      </x:c>
      <x:c r="AE42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2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42" s="23"/>
      <x:c r="AH42" s="23"/>
      <x:c r="AI42" s="38" t="d">
        <x:v>2026-10-18T15:00:00.000Z</x:v>
      </x:c>
      <x:c r="AJ42" s="20" t="str">
        <x:v>não contatado</x:v>
      </x:c>
      <x:c r="AK42" s="20" t="str"/>
      <x:c r="AL42" s="41"/>
      <x:c r="AM42" s="41"/>
    </x:row>
    <x:row r="43">
      <x:c r="A43" s="20" t="str">
        <x:v>8ea6e47272d2</x:v>
      </x:c>
      <x:c r="B43" s="20" t="str">
        <x:v>Lidervidros Comércio de Vidros</x:v>
      </x:c>
      <x:c r="C43" s="20" t="str">
        <x:v>Vidraçarias</x:v>
      </x:c>
      <x:c r="D43" s="23" t="str">
        <x:v>Rua Lázaro Zamenhof, 449 - Loja 7 - Bairro: San Fernando - Londrina - PR - CEP: 86040-350</x:v>
      </x:c>
      <x:c r="E43" s="23" t="str">
        <x:v>San Fernando</x:v>
      </x:c>
      <x:c r="F43" s="20" t="str">
        <x:v>Londrina</x:v>
      </x:c>
      <x:c r="G43" s="20" t="str">
        <x:v>PR</x:v>
      </x:c>
      <x:c r="H43" s="20" t="str">
        <x:v>(43) 3325-9099</x:v>
      </x:c>
      <x:c r="I43" s="20" t="str">
        <x:v>NÃO IDENTIFICADO</x:v>
      </x:c>
      <x:c r="J43" s="20" t="str"/>
      <x:c r="K43" s="20" t="e">
        <x:f>HYPERLINK("https://www.google.com/maps/search/?api=1&amp;query=Lidervidros+Com%C3%A9rcio+de+Vidros+Rua+L%C3%A1zaro+Zamenhof%2C+449+-+Loja+7+-+Bairro%3A+San+Fernando+-+Londrina+-+PR+-+CEP%3A+86040-350","Abrir mapa")</x:f>
        <x:v>HYPERLINK is not implemented. linkLocation=https://www.google.com/maps/search/?api=1&amp;query=Lidervidros+Com%C3%A9rcio+de+Vidros+Rua+L%C3%A1zaro+Zamenhof%2C+449+-+Loja+7+-+Bairro%3A+San+Fernando+-+Londrina+-+PR+-+CEP%3A+86040-350, friendlyName=Abrir mapa</x:v>
      </x:c>
      <x:c r="L43" s="26"/>
      <x:c r="M43" s="29"/>
      <x:c r="N43" s="20"/>
      <x:c r="O43" s="20" t="str">
        <x:v>NÃO IDENTIFICADO</x:v>
      </x:c>
      <x:c r="P43" s="20" t="str">
        <x:v>NÃO APLICÁVEL</x:v>
      </x:c>
      <x:c r="Q43" s="32"/>
      <x:c r="R43" s="20" t="str">
        <x:v>NÃO IDENTIFICADA</x:v>
      </x:c>
      <x:c r="S43" s="20"/>
      <x:c r="T43" s="20"/>
      <x:c r="U43" s="20" t="str">
        <x:v>NÃO IDENTIFICADO</x:v>
      </x:c>
      <x:c r="V43" s="20" t="str">
        <x:v>NÃO IDENTIFICADO</x:v>
      </x:c>
      <x:c r="W43" s="20" t="str">
        <x:v>NÃO IDENTIFICADO</x:v>
      </x:c>
      <x:c r="X43" s="23" t="str">
        <x:v>Vidros, espelhos, boxes e esquadrias (categoria pública; confirmar escopo diretamente).</x:v>
      </x:c>
      <x:c r="Y43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3" s="23" t="str">
        <x:v>Se confirmado, landing page/site institucional com portfólio. Catálogo visual com pedido de orçamento. Formulário qualificado e integração com WhatsApp/CRM.</x:v>
      </x:c>
      <x:c r="AA43" s="23" t="str">
        <x:v>Apresentar um protótipo curto para vidraçarias, destacar portfólio e orçamento no celular, e pedir confirmação do processo atual antes de afirmar qualquer problema interno.</x:v>
      </x:c>
      <x:c r="AB43" s="23" t="str">
        <x:v>Nome, endereço e telefone publicados no diretório indicado em Fontes.</x:v>
      </x:c>
      <x:c r="AC43" s="35" t="n">
        <x:v>33</x:v>
      </x:c>
      <x:c r="AD43" s="23" t="str">
        <x:v>Prioridade D — Baixa</x:v>
      </x:c>
      <x:c r="AE43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3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43" s="23"/>
      <x:c r="AH43" s="23"/>
      <x:c r="AI43" s="38" t="d">
        <x:v>2026-10-18T15:00:00.000Z</x:v>
      </x:c>
      <x:c r="AJ43" s="20" t="str">
        <x:v>não contatado</x:v>
      </x:c>
      <x:c r="AK43" s="20" t="str"/>
      <x:c r="AL43" s="41"/>
      <x:c r="AM43" s="41"/>
    </x:row>
    <x:row r="44">
      <x:c r="A44" s="20" t="str">
        <x:v>1295c23b5a54</x:v>
      </x:c>
      <x:c r="B44" s="20" t="str">
        <x:v>Lojão Do Vidraceiro</x:v>
      </x:c>
      <x:c r="C44" s="20" t="str">
        <x:v>Vidraçarias</x:v>
      </x:c>
      <x:c r="D44" s="23" t="str">
        <x:v>Rua São Luiz, 62 - Bairro: Vila Shimabokuro - Londrina - PR - CEP: 86020-260</x:v>
      </x:c>
      <x:c r="E44" s="23" t="str">
        <x:v>Vila Shimabokuro</x:v>
      </x:c>
      <x:c r="F44" s="20" t="str">
        <x:v>Londrina</x:v>
      </x:c>
      <x:c r="G44" s="20" t="str">
        <x:v>PR</x:v>
      </x:c>
      <x:c r="H44" s="20" t="str">
        <x:v>(43) 3322-7953</x:v>
      </x:c>
      <x:c r="I44" s="20" t="str">
        <x:v>NÃO IDENTIFICADO</x:v>
      </x:c>
      <x:c r="J44" s="20" t="str"/>
      <x:c r="K44" s="20" t="e">
        <x:f>HYPERLINK("https://www.google.com/maps/search/?api=1&amp;query=Loj%C3%A3o+Do+Vidraceiro+Rua+S%C3%A3o+Luiz%2C+62+-+Bairro%3A+Vila+Shimabokuro+-+Londrina+-+PR+-+CEP%3A+86020-260","Abrir mapa")</x:f>
        <x:v>HYPERLINK is not implemented. linkLocation=https://www.google.com/maps/search/?api=1&amp;query=Loj%C3%A3o+Do+Vidraceiro+Rua+S%C3%A3o+Luiz%2C+62+-+Bairro%3A+Vila+Shimabokuro+-+Londrina+-+PR+-+CEP%3A+86020-260, friendlyName=Abrir mapa</x:v>
      </x:c>
      <x:c r="L44" s="26"/>
      <x:c r="M44" s="29"/>
      <x:c r="N44" s="20"/>
      <x:c r="O44" s="20" t="str">
        <x:v>NÃO IDENTIFICADO</x:v>
      </x:c>
      <x:c r="P44" s="20" t="str">
        <x:v>NÃO APLICÁVEL</x:v>
      </x:c>
      <x:c r="Q44" s="32"/>
      <x:c r="R44" s="20" t="str">
        <x:v>NÃO IDENTIFICADA</x:v>
      </x:c>
      <x:c r="S44" s="20"/>
      <x:c r="T44" s="20"/>
      <x:c r="U44" s="20" t="str">
        <x:v>NÃO IDENTIFICADO</x:v>
      </x:c>
      <x:c r="V44" s="20" t="str">
        <x:v>NÃO IDENTIFICADO</x:v>
      </x:c>
      <x:c r="W44" s="20" t="str">
        <x:v>NÃO IDENTIFICADO</x:v>
      </x:c>
      <x:c r="X44" s="23" t="str">
        <x:v>Vidros, espelhos, boxes e esquadrias (categoria pública; confirmar escopo diretamente).</x:v>
      </x:c>
      <x:c r="Y44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4" s="23" t="str">
        <x:v>Se confirmado, landing page/site institucional com portfólio. Catálogo visual com pedido de orçamento. Formulário qualificado e integração com WhatsApp/CRM.</x:v>
      </x:c>
      <x:c r="AA44" s="23" t="str">
        <x:v>Apresentar um protótipo curto para vidraçarias, destacar portfólio e orçamento no celular, e pedir confirmação do processo atual antes de afirmar qualquer problema interno.</x:v>
      </x:c>
      <x:c r="AB44" s="23" t="str">
        <x:v>Nome, endereço e telefone publicados no diretório indicado em Fontes.</x:v>
      </x:c>
      <x:c r="AC44" s="35" t="n">
        <x:v>33</x:v>
      </x:c>
      <x:c r="AD44" s="23" t="str">
        <x:v>Prioridade D — Baixa</x:v>
      </x:c>
      <x:c r="AE44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4" s="23" t="e">
        <x:f>HYPERLINK("https://www.encontralondrina.com.br/v/vidracaria-em-londrina.shtml","Fonte 1")</x:f>
        <x:v>HYPERLINK is not implemented. linkLocation=https://www.encontralondrina.com.br/v/vidracaria-em-londrina.shtml, friendlyName=Fonte 1</x:v>
      </x:c>
      <x:c r="AG44" s="23"/>
      <x:c r="AH44" s="23"/>
      <x:c r="AI44" s="38" t="d">
        <x:v>2026-10-18T15:00:00.000Z</x:v>
      </x:c>
      <x:c r="AJ44" s="20" t="str">
        <x:v>não contatado</x:v>
      </x:c>
      <x:c r="AK44" s="20" t="str"/>
      <x:c r="AL44" s="41"/>
      <x:c r="AM44" s="41"/>
    </x:row>
    <x:row r="45">
      <x:c r="A45" s="20" t="str">
        <x:v>1d531f56e9bc</x:v>
      </x:c>
      <x:c r="B45" s="20" t="str">
        <x:v>Betoven Artefatos E Madeiras</x:v>
      </x:c>
      <x:c r="C45" s="20" t="str">
        <x:v>Marcenarias e móveis planejados</x:v>
      </x:c>
      <x:c r="D45" s="23" t="str">
        <x:v>Avenida São João, 3505 - Bairro: Antares - Londrina - PR - CEP: 86036-030</x:v>
      </x:c>
      <x:c r="E45" s="23" t="str">
        <x:v>Antares</x:v>
      </x:c>
      <x:c r="F45" s="20" t="str">
        <x:v>Londrina</x:v>
      </x:c>
      <x:c r="G45" s="20" t="str">
        <x:v>PR</x:v>
      </x:c>
      <x:c r="H45" s="20" t="str">
        <x:v>(43) 3337-6371</x:v>
      </x:c>
      <x:c r="I45" s="20" t="str">
        <x:v>NÃO IDENTIFICADO</x:v>
      </x:c>
      <x:c r="J45" s="20" t="str"/>
      <x:c r="K45" s="20" t="e">
        <x:f>HYPERLINK("https://www.google.com/maps/search/?api=1&amp;query=Betoven+Artefatos+E+Madeiras+Avenida+S%C3%A3o+Jo%C3%A3o%2C+3505+-+Bairro%3A+Antares+-+Londrina+-+PR+-+CEP%3A+86036-030","Abrir mapa")</x:f>
        <x:v>HYPERLINK is not implemented. linkLocation=https://www.google.com/maps/search/?api=1&amp;query=Betoven+Artefatos+E+Madeiras+Avenida+S%C3%A3o+Jo%C3%A3o%2C+3505+-+Bairro%3A+Antares+-+Londrina+-+PR+-+CEP%3A+86036-030, friendlyName=Abrir mapa</x:v>
      </x:c>
      <x:c r="L45" s="26"/>
      <x:c r="M45" s="29"/>
      <x:c r="N45" s="20"/>
      <x:c r="O45" s="20" t="str">
        <x:v>NÃO IDENTIFICADO</x:v>
      </x:c>
      <x:c r="P45" s="20" t="str">
        <x:v>NÃO APLICÁVEL</x:v>
      </x:c>
      <x:c r="Q45" s="32"/>
      <x:c r="R45" s="20" t="str">
        <x:v>NÃO IDENTIFICADA</x:v>
      </x:c>
      <x:c r="S45" s="20"/>
      <x:c r="T45" s="20"/>
      <x:c r="U45" s="20" t="str">
        <x:v>NÃO IDENTIFICADO</x:v>
      </x:c>
      <x:c r="V45" s="20" t="str">
        <x:v>NÃO IDENTIFICADO</x:v>
      </x:c>
      <x:c r="W45" s="20" t="str">
        <x:v>NÃO IDENTIFICADO</x:v>
      </x:c>
      <x:c r="X45" s="23" t="str">
        <x:v>Marcenaria e móveis sob medida/planejados (categoria pública; confirmar escopo diretamente).</x:v>
      </x:c>
      <x:c r="Y45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5" s="23" t="str">
        <x:v>Se confirmado, landing page/site institucional com portfólio. Catálogo visual com pedido de orçamento. Formulário qualificado e integração com WhatsApp/CRM.</x:v>
      </x:c>
      <x:c r="AA45" s="23" t="str">
        <x:v>Apresentar um protótipo curto para marcenarias e móveis planejados, destacar portfólio e orçamento no celular, e pedir confirmação do processo atual antes de afirmar qualquer problema interno.</x:v>
      </x:c>
      <x:c r="AB45" s="23" t="str">
        <x:v>Nome, endereço e telefone publicados no diretório indicado em Fontes.</x:v>
      </x:c>
      <x:c r="AC45" s="35" t="n">
        <x:v>33</x:v>
      </x:c>
      <x:c r="AD45" s="23" t="str">
        <x:v>Prioridade D — Baixa</x:v>
      </x:c>
      <x:c r="AE45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5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45" s="23"/>
      <x:c r="AH45" s="23"/>
      <x:c r="AI45" s="38" t="d">
        <x:v>2026-10-18T15:00:00.000Z</x:v>
      </x:c>
      <x:c r="AJ45" s="20" t="str">
        <x:v>não contatado</x:v>
      </x:c>
      <x:c r="AK45" s="20" t="str"/>
      <x:c r="AL45" s="41"/>
      <x:c r="AM45" s="41"/>
    </x:row>
    <x:row r="46">
      <x:c r="A46" s="20" t="str">
        <x:v>849d0472d8a9</x:v>
      </x:c>
      <x:c r="B46" s="20" t="str">
        <x:v>Casa Móveis Marcenaria</x:v>
      </x:c>
      <x:c r="C46" s="20" t="str">
        <x:v>Marcenarias e móveis planejados</x:v>
      </x:c>
      <x:c r="D46" s="23" t="str">
        <x:v>Rua Bélgica, 1820 - Bairro: Igapó - Londrina - PR - CEP: 86046-280</x:v>
      </x:c>
      <x:c r="E46" s="23" t="str">
        <x:v>Igapó</x:v>
      </x:c>
      <x:c r="F46" s="20" t="str">
        <x:v>Londrina</x:v>
      </x:c>
      <x:c r="G46" s="20" t="str">
        <x:v>PR</x:v>
      </x:c>
      <x:c r="H46" s="20" t="str">
        <x:v>(43) 3342-4423</x:v>
      </x:c>
      <x:c r="I46" s="20" t="str">
        <x:v>NÃO IDENTIFICADO</x:v>
      </x:c>
      <x:c r="J46" s="20" t="str"/>
      <x:c r="K46" s="20" t="e">
        <x:f>HYPERLINK("https://www.google.com/maps/search/?api=1&amp;query=Casa+M%C3%B3veis+Marcenaria+Rua+B%C3%A9lgica%2C+1820+-+Bairro%3A+Igap%C3%B3+-+Londrina+-+PR+-+CEP%3A+86046-280","Abrir mapa")</x:f>
        <x:v>HYPERLINK is not implemented. linkLocation=https://www.google.com/maps/search/?api=1&amp;query=Casa+M%C3%B3veis+Marcenaria+Rua+B%C3%A9lgica%2C+1820+-+Bairro%3A+Igap%C3%B3+-+Londrina+-+PR+-+CEP%3A+86046-280, friendlyName=Abrir mapa</x:v>
      </x:c>
      <x:c r="L46" s="26"/>
      <x:c r="M46" s="29"/>
      <x:c r="N46" s="20"/>
      <x:c r="O46" s="20" t="str">
        <x:v>NÃO IDENTIFICADO</x:v>
      </x:c>
      <x:c r="P46" s="20" t="str">
        <x:v>NÃO APLICÁVEL</x:v>
      </x:c>
      <x:c r="Q46" s="32"/>
      <x:c r="R46" s="20" t="str">
        <x:v>NÃO IDENTIFICADA</x:v>
      </x:c>
      <x:c r="S46" s="20"/>
      <x:c r="T46" s="20"/>
      <x:c r="U46" s="20" t="str">
        <x:v>NÃO IDENTIFICADO</x:v>
      </x:c>
      <x:c r="V46" s="20" t="str">
        <x:v>NÃO IDENTIFICADO</x:v>
      </x:c>
      <x:c r="W46" s="20" t="str">
        <x:v>NÃO IDENTIFICADO</x:v>
      </x:c>
      <x:c r="X46" s="23" t="str">
        <x:v>Marcenaria e móveis sob medida/planejados (categoria pública; confirmar escopo diretamente).</x:v>
      </x:c>
      <x:c r="Y46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6" s="23" t="str">
        <x:v>Se confirmado, landing page/site institucional com portfólio. Catálogo visual com pedido de orçamento. Formulário qualificado e integração com WhatsApp/CRM.</x:v>
      </x:c>
      <x:c r="AA46" s="23" t="str">
        <x:v>Apresentar um protótipo curto para marcenarias e móveis planejados, destacar portfólio e orçamento no celular, e pedir confirmação do processo atual antes de afirmar qualquer problema interno.</x:v>
      </x:c>
      <x:c r="AB46" s="23" t="str">
        <x:v>Nome, endereço e telefone publicados no diretório indicado em Fontes.</x:v>
      </x:c>
      <x:c r="AC46" s="35" t="n">
        <x:v>33</x:v>
      </x:c>
      <x:c r="AD46" s="23" t="str">
        <x:v>Prioridade D — Baixa</x:v>
      </x:c>
      <x:c r="AE46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6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46" s="23"/>
      <x:c r="AH46" s="23"/>
      <x:c r="AI46" s="38" t="d">
        <x:v>2026-10-18T15:00:00.000Z</x:v>
      </x:c>
      <x:c r="AJ46" s="20" t="str">
        <x:v>não contatado</x:v>
      </x:c>
      <x:c r="AK46" s="20" t="str"/>
      <x:c r="AL46" s="41"/>
      <x:c r="AM46" s="41"/>
    </x:row>
    <x:row r="47">
      <x:c r="A47" s="20" t="str">
        <x:v>9f6e69a6b0cd</x:v>
      </x:c>
      <x:c r="B47" s="20" t="str">
        <x:v>Criativa Marcenaria</x:v>
      </x:c>
      <x:c r="C47" s="20" t="str">
        <x:v>Marcenarias e móveis planejados</x:v>
      </x:c>
      <x:c r="D47" s="23" t="str">
        <x:v>Rua Sergipe, - Bairro: Centro - Londrina - PR - CEP: 86010-380</x:v>
      </x:c>
      <x:c r="E47" s="23" t="str">
        <x:v>Centro</x:v>
      </x:c>
      <x:c r="F47" s="20" t="str">
        <x:v>Londrina</x:v>
      </x:c>
      <x:c r="G47" s="20" t="str">
        <x:v>PR</x:v>
      </x:c>
      <x:c r="H47" s="20" t="str">
        <x:v>(43) 3338-8488</x:v>
      </x:c>
      <x:c r="I47" s="20" t="str">
        <x:v>NÃO IDENTIFICADO</x:v>
      </x:c>
      <x:c r="J47" s="20" t="str"/>
      <x:c r="K47" s="20" t="e">
        <x:f>HYPERLINK("https://www.google.com/maps/search/?api=1&amp;query=Criativa+Marcenaria+Rua+Sergipe%2C+-+Bairro%3A+Centro+-+Londrina+-+PR+-+CEP%3A+86010-380","Abrir mapa")</x:f>
        <x:v>HYPERLINK is not implemented. linkLocation=https://www.google.com/maps/search/?api=1&amp;query=Criativa+Marcenaria+Rua+Sergipe%2C+-+Bairro%3A+Centro+-+Londrina+-+PR+-+CEP%3A+86010-380, friendlyName=Abrir mapa</x:v>
      </x:c>
      <x:c r="L47" s="26"/>
      <x:c r="M47" s="29"/>
      <x:c r="N47" s="20"/>
      <x:c r="O47" s="20" t="str">
        <x:v>NÃO IDENTIFICADO</x:v>
      </x:c>
      <x:c r="P47" s="20" t="str">
        <x:v>NÃO APLICÁVEL</x:v>
      </x:c>
      <x:c r="Q47" s="32"/>
      <x:c r="R47" s="20" t="str">
        <x:v>NÃO IDENTIFICADA</x:v>
      </x:c>
      <x:c r="S47" s="20"/>
      <x:c r="T47" s="20"/>
      <x:c r="U47" s="20" t="str">
        <x:v>NÃO IDENTIFICADO</x:v>
      </x:c>
      <x:c r="V47" s="20" t="str">
        <x:v>NÃO IDENTIFICADO</x:v>
      </x:c>
      <x:c r="W47" s="20" t="str">
        <x:v>NÃO IDENTIFICADO</x:v>
      </x:c>
      <x:c r="X47" s="23" t="str">
        <x:v>Marcenaria e móveis sob medida/planejados (categoria pública; confirmar escopo diretamente).</x:v>
      </x:c>
      <x:c r="Y47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7" s="23" t="str">
        <x:v>Se confirmado, landing page/site institucional com portfólio. Catálogo visual com pedido de orçamento. Formulário qualificado e integração com WhatsApp/CRM.</x:v>
      </x:c>
      <x:c r="AA47" s="23" t="str">
        <x:v>Apresentar um protótipo curto para marcenarias e móveis planejados, destacar portfólio e orçamento no celular, e pedir confirmação do processo atual antes de afirmar qualquer problema interno.</x:v>
      </x:c>
      <x:c r="AB47" s="23" t="str">
        <x:v>Nome, endereço e telefone publicados no diretório indicado em Fontes.</x:v>
      </x:c>
      <x:c r="AC47" s="35" t="n">
        <x:v>33</x:v>
      </x:c>
      <x:c r="AD47" s="23" t="str">
        <x:v>Prioridade D — Baixa</x:v>
      </x:c>
      <x:c r="AE47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7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47" s="23"/>
      <x:c r="AH47" s="23"/>
      <x:c r="AI47" s="38" t="d">
        <x:v>2026-10-18T15:00:00.000Z</x:v>
      </x:c>
      <x:c r="AJ47" s="20" t="str">
        <x:v>não contatado</x:v>
      </x:c>
      <x:c r="AK47" s="20" t="str"/>
      <x:c r="AL47" s="41"/>
      <x:c r="AM47" s="41"/>
    </x:row>
    <x:row r="48">
      <x:c r="A48" s="20" t="str">
        <x:v>91aa0101327f</x:v>
      </x:c>
      <x:c r="B48" s="20" t="str">
        <x:v>DF Marcenaria</x:v>
      </x:c>
      <x:c r="C48" s="20" t="str">
        <x:v>Marcenarias e móveis planejados</x:v>
      </x:c>
      <x:c r="D48" s="23" t="str">
        <x:v>Rua Winston Churchill. 1391 - Bairro: Coliseu - Londrina - PR - CEP: 86080-120</x:v>
      </x:c>
      <x:c r="E48" s="23" t="str">
        <x:v>Coliseu</x:v>
      </x:c>
      <x:c r="F48" s="20" t="str">
        <x:v>Londrina</x:v>
      </x:c>
      <x:c r="G48" s="20" t="str">
        <x:v>PR</x:v>
      </x:c>
      <x:c r="H48" s="20" t="str">
        <x:v>(43) 3327-1338</x:v>
      </x:c>
      <x:c r="I48" s="20" t="str">
        <x:v>NÃO IDENTIFICADO</x:v>
      </x:c>
      <x:c r="J48" s="20" t="str"/>
      <x:c r="K48" s="20" t="e">
        <x:f>HYPERLINK("https://www.google.com/maps/search/?api=1&amp;query=DF+Marcenaria+Rua+Winston+Churchill.+1391+-+Bairro%3A+Coliseu+-+Londrina+-+PR+-+CEP%3A+86080-120","Abrir mapa")</x:f>
        <x:v>HYPERLINK is not implemented. linkLocation=https://www.google.com/maps/search/?api=1&amp;query=DF+Marcenaria+Rua+Winston+Churchill.+1391+-+Bairro%3A+Coliseu+-+Londrina+-+PR+-+CEP%3A+86080-120, friendlyName=Abrir mapa</x:v>
      </x:c>
      <x:c r="L48" s="26"/>
      <x:c r="M48" s="29"/>
      <x:c r="N48" s="20"/>
      <x:c r="O48" s="20" t="str">
        <x:v>NÃO IDENTIFICADO</x:v>
      </x:c>
      <x:c r="P48" s="20" t="str">
        <x:v>NÃO APLICÁVEL</x:v>
      </x:c>
      <x:c r="Q48" s="32"/>
      <x:c r="R48" s="20" t="str">
        <x:v>NÃO IDENTIFICADA</x:v>
      </x:c>
      <x:c r="S48" s="20"/>
      <x:c r="T48" s="20"/>
      <x:c r="U48" s="20" t="str">
        <x:v>NÃO IDENTIFICADO</x:v>
      </x:c>
      <x:c r="V48" s="20" t="str">
        <x:v>NÃO IDENTIFICADO</x:v>
      </x:c>
      <x:c r="W48" s="20" t="str">
        <x:v>NÃO IDENTIFICADO</x:v>
      </x:c>
      <x:c r="X48" s="23" t="str">
        <x:v>Marcenaria e móveis sob medida/planejados (categoria pública; confirmar escopo diretamente).</x:v>
      </x:c>
      <x:c r="Y48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8" s="23" t="str">
        <x:v>Se confirmado, landing page/site institucional com portfólio. Catálogo visual com pedido de orçamento. Formulário qualificado e integração com WhatsApp/CRM.</x:v>
      </x:c>
      <x:c r="AA48" s="23" t="str">
        <x:v>Apresentar um protótipo curto para marcenarias e móveis planejados, destacar portfólio e orçamento no celular, e pedir confirmação do processo atual antes de afirmar qualquer problema interno.</x:v>
      </x:c>
      <x:c r="AB48" s="23" t="str">
        <x:v>Nome, endereço e telefone publicados no diretório indicado em Fontes.</x:v>
      </x:c>
      <x:c r="AC48" s="35" t="n">
        <x:v>33</x:v>
      </x:c>
      <x:c r="AD48" s="23" t="str">
        <x:v>Prioridade D — Baixa</x:v>
      </x:c>
      <x:c r="AE48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8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48" s="23"/>
      <x:c r="AH48" s="23"/>
      <x:c r="AI48" s="38" t="d">
        <x:v>2026-10-18T15:00:00.000Z</x:v>
      </x:c>
      <x:c r="AJ48" s="20" t="str">
        <x:v>não contatado</x:v>
      </x:c>
      <x:c r="AK48" s="20" t="str"/>
      <x:c r="AL48" s="41"/>
      <x:c r="AM48" s="41"/>
    </x:row>
    <x:row r="49">
      <x:c r="A49" s="20" t="str">
        <x:v>c5d6049ebf21</x:v>
      </x:c>
      <x:c r="B49" s="20" t="str">
        <x:v>Formatto Marcenaria</x:v>
      </x:c>
      <x:c r="C49" s="20" t="str">
        <x:v>Marcenarias e móveis planejados</x:v>
      </x:c>
      <x:c r="D49" s="23" t="str">
        <x:v>Rua Amaro Romeu Ramalho, 166 - Bairro: Helena - Londrina - PR - CEP: 86027-500</x:v>
      </x:c>
      <x:c r="E49" s="23" t="str">
        <x:v>Helena</x:v>
      </x:c>
      <x:c r="F49" s="20" t="str">
        <x:v>Londrina</x:v>
      </x:c>
      <x:c r="G49" s="20" t="str">
        <x:v>PR</x:v>
      </x:c>
      <x:c r="H49" s="20" t="str">
        <x:v>(43) 3356-9698</x:v>
      </x:c>
      <x:c r="I49" s="20" t="str">
        <x:v>NÃO IDENTIFICADO</x:v>
      </x:c>
      <x:c r="J49" s="20" t="str"/>
      <x:c r="K49" s="20" t="e">
        <x:f>HYPERLINK("https://www.google.com/maps/search/?api=1&amp;query=Formatto+Marcenaria+Rua+Amaro+Romeu+Ramalho%2C+166+-+Bairro%3A+Helena+-+Londrina+-+PR+-+CEP%3A+86027-500","Abrir mapa")</x:f>
        <x:v>HYPERLINK is not implemented. linkLocation=https://www.google.com/maps/search/?api=1&amp;query=Formatto+Marcenaria+Rua+Amaro+Romeu+Ramalho%2C+166+-+Bairro%3A+Helena+-+Londrina+-+PR+-+CEP%3A+86027-500, friendlyName=Abrir mapa</x:v>
      </x:c>
      <x:c r="L49" s="26"/>
      <x:c r="M49" s="29"/>
      <x:c r="N49" s="20"/>
      <x:c r="O49" s="20" t="str">
        <x:v>NÃO IDENTIFICADO</x:v>
      </x:c>
      <x:c r="P49" s="20" t="str">
        <x:v>NÃO APLICÁVEL</x:v>
      </x:c>
      <x:c r="Q49" s="32"/>
      <x:c r="R49" s="20" t="str">
        <x:v>NÃO IDENTIFICADA</x:v>
      </x:c>
      <x:c r="S49" s="20"/>
      <x:c r="T49" s="20"/>
      <x:c r="U49" s="20" t="str">
        <x:v>NÃO IDENTIFICADO</x:v>
      </x:c>
      <x:c r="V49" s="20" t="str">
        <x:v>NÃO IDENTIFICADO</x:v>
      </x:c>
      <x:c r="W49" s="20" t="str">
        <x:v>NÃO IDENTIFICADO</x:v>
      </x:c>
      <x:c r="X49" s="23" t="str">
        <x:v>Marcenaria e móveis sob medida/planejados (categoria pública; confirmar escopo diretamente).</x:v>
      </x:c>
      <x:c r="Y49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49" s="23" t="str">
        <x:v>Se confirmado, landing page/site institucional com portfólio. Catálogo visual com pedido de orçamento. Formulário qualificado e integração com WhatsApp/CRM.</x:v>
      </x:c>
      <x:c r="AA49" s="23" t="str">
        <x:v>Apresentar um protótipo curto para marcenarias e móveis planejados, destacar portfólio e orçamento no celular, e pedir confirmação do processo atual antes de afirmar qualquer problema interno.</x:v>
      </x:c>
      <x:c r="AB49" s="23" t="str">
        <x:v>Nome, endereço e telefone publicados no diretório indicado em Fontes.</x:v>
      </x:c>
      <x:c r="AC49" s="35" t="n">
        <x:v>33</x:v>
      </x:c>
      <x:c r="AD49" s="23" t="str">
        <x:v>Prioridade D — Baixa</x:v>
      </x:c>
      <x:c r="AE49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49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49" s="23"/>
      <x:c r="AH49" s="23"/>
      <x:c r="AI49" s="38" t="d">
        <x:v>2026-10-18T15:00:00.000Z</x:v>
      </x:c>
      <x:c r="AJ49" s="20" t="str">
        <x:v>não contatado</x:v>
      </x:c>
      <x:c r="AK49" s="20" t="str"/>
      <x:c r="AL49" s="41"/>
      <x:c r="AM49" s="41"/>
    </x:row>
    <x:row r="50">
      <x:c r="A50" s="20" t="str">
        <x:v>1a04b4133694</x:v>
      </x:c>
      <x:c r="B50" s="20" t="str">
        <x:v>Londriplac</x:v>
      </x:c>
      <x:c r="C50" s="20" t="str">
        <x:v>Marcenarias e móveis planejados</x:v>
      </x:c>
      <x:c r="D50" s="23" t="str">
        <x:v>Rua Itajaí, 70 - Bairro: Tietê - Londrina - PR - CEP: 86025-450</x:v>
      </x:c>
      <x:c r="E50" s="23" t="str">
        <x:v>Tietê</x:v>
      </x:c>
      <x:c r="F50" s="20" t="str">
        <x:v>Londrina</x:v>
      </x:c>
      <x:c r="G50" s="20" t="str">
        <x:v>PR</x:v>
      </x:c>
      <x:c r="H50" s="20" t="str">
        <x:v>(43) 3339-2324</x:v>
      </x:c>
      <x:c r="I50" s="20" t="str">
        <x:v>NÃO IDENTIFICADO</x:v>
      </x:c>
      <x:c r="J50" s="20" t="str"/>
      <x:c r="K50" s="20" t="e">
        <x:f>HYPERLINK("https://www.google.com/maps/search/?api=1&amp;query=Londriplac+Rua+Itaja%C3%AD%2C+70+-+Bairro%3A+Tiet%C3%AA+-+Londrina+-+PR+-+CEP%3A+86025-450","Abrir mapa")</x:f>
        <x:v>HYPERLINK is not implemented. linkLocation=https://www.google.com/maps/search/?api=1&amp;query=Londriplac+Rua+Itaja%C3%AD%2C+70+-+Bairro%3A+Tiet%C3%AA+-+Londrina+-+PR+-+CEP%3A+86025-450, friendlyName=Abrir mapa</x:v>
      </x:c>
      <x:c r="L50" s="26"/>
      <x:c r="M50" s="29"/>
      <x:c r="N50" s="20"/>
      <x:c r="O50" s="20" t="str">
        <x:v>NÃO IDENTIFICADO</x:v>
      </x:c>
      <x:c r="P50" s="20" t="str">
        <x:v>NÃO APLICÁVEL</x:v>
      </x:c>
      <x:c r="Q50" s="32"/>
      <x:c r="R50" s="20" t="str">
        <x:v>NÃO IDENTIFICADA</x:v>
      </x:c>
      <x:c r="S50" s="20"/>
      <x:c r="T50" s="20"/>
      <x:c r="U50" s="20" t="str">
        <x:v>NÃO IDENTIFICADO</x:v>
      </x:c>
      <x:c r="V50" s="20" t="str">
        <x:v>NÃO IDENTIFICADO</x:v>
      </x:c>
      <x:c r="W50" s="20" t="str">
        <x:v>NÃO IDENTIFICADO</x:v>
      </x:c>
      <x:c r="X50" s="23" t="str">
        <x:v>Marcenaria e móveis sob medida/planejados (categoria pública; confirmar escopo diretamente).</x:v>
      </x:c>
      <x:c r="Y50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0" s="23" t="str">
        <x:v>Se confirmado, landing page/site institucional com portfólio. Catálogo visual com pedido de orçamento. Formulário qualificado e integração com WhatsApp/CRM.</x:v>
      </x:c>
      <x:c r="AA50" s="23" t="str">
        <x:v>Apresentar um protótipo curto para marcenarias e móveis planejados, destacar portfólio e orçamento no celular, e pedir confirmação do processo atual antes de afirmar qualquer problema interno.</x:v>
      </x:c>
      <x:c r="AB50" s="23" t="str">
        <x:v>Nome, endereço e telefone publicados no diretório indicado em Fontes.</x:v>
      </x:c>
      <x:c r="AC50" s="35" t="n">
        <x:v>33</x:v>
      </x:c>
      <x:c r="AD50" s="23" t="str">
        <x:v>Prioridade D — Baixa</x:v>
      </x:c>
      <x:c r="AE50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0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0" s="23"/>
      <x:c r="AH50" s="23"/>
      <x:c r="AI50" s="38" t="d">
        <x:v>2026-10-18T15:00:00.000Z</x:v>
      </x:c>
      <x:c r="AJ50" s="20" t="str">
        <x:v>não contatado</x:v>
      </x:c>
      <x:c r="AK50" s="20" t="str"/>
      <x:c r="AL50" s="41"/>
      <x:c r="AM50" s="41"/>
    </x:row>
    <x:row r="51">
      <x:c r="A51" s="20" t="str">
        <x:v>b5ff4aac8372</x:v>
      </x:c>
      <x:c r="B51" s="20" t="str">
        <x:v>Marcenaria 2 Irmãos</x:v>
      </x:c>
      <x:c r="C51" s="20" t="str">
        <x:v>Marcenarias e móveis planejados</x:v>
      </x:c>
      <x:c r="D51" s="23" t="str">
        <x:v>Rua Serra, 327 - Bairro: Bandeirantes - Londrina - PR - CEP: 86065-300</x:v>
      </x:c>
      <x:c r="E51" s="23" t="str">
        <x:v>Bandeirantes</x:v>
      </x:c>
      <x:c r="F51" s="20" t="str">
        <x:v>Londrina</x:v>
      </x:c>
      <x:c r="G51" s="20" t="str">
        <x:v>PR</x:v>
      </x:c>
      <x:c r="H51" s="20" t="str">
        <x:v>(43) 3338-0735</x:v>
      </x:c>
      <x:c r="I51" s="20" t="str">
        <x:v>NÃO IDENTIFICADO</x:v>
      </x:c>
      <x:c r="J51" s="20" t="str"/>
      <x:c r="K51" s="20" t="e">
        <x:f>HYPERLINK("https://www.google.com/maps/search/?api=1&amp;query=Marcenaria+2+Irm%C3%A3os+Rua+Serra%2C+327+-+Bairro%3A+Bandeirantes+-+Londrina+-+PR+-+CEP%3A+86065-300","Abrir mapa")</x:f>
        <x:v>HYPERLINK is not implemented. linkLocation=https://www.google.com/maps/search/?api=1&amp;query=Marcenaria+2+Irm%C3%A3os+Rua+Serra%2C+327+-+Bairro%3A+Bandeirantes+-+Londrina+-+PR+-+CEP%3A+86065-300, friendlyName=Abrir mapa</x:v>
      </x:c>
      <x:c r="L51" s="26"/>
      <x:c r="M51" s="29"/>
      <x:c r="N51" s="20"/>
      <x:c r="O51" s="20" t="str">
        <x:v>NÃO IDENTIFICADO</x:v>
      </x:c>
      <x:c r="P51" s="20" t="str">
        <x:v>NÃO APLICÁVEL</x:v>
      </x:c>
      <x:c r="Q51" s="32"/>
      <x:c r="R51" s="20" t="str">
        <x:v>NÃO IDENTIFICADA</x:v>
      </x:c>
      <x:c r="S51" s="20"/>
      <x:c r="T51" s="20"/>
      <x:c r="U51" s="20" t="str">
        <x:v>NÃO IDENTIFICADO</x:v>
      </x:c>
      <x:c r="V51" s="20" t="str">
        <x:v>NÃO IDENTIFICADO</x:v>
      </x:c>
      <x:c r="W51" s="20" t="str">
        <x:v>NÃO IDENTIFICADO</x:v>
      </x:c>
      <x:c r="X51" s="23" t="str">
        <x:v>Marcenaria e móveis sob medida/planejados (categoria pública; confirmar escopo diretamente).</x:v>
      </x:c>
      <x:c r="Y51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1" s="23" t="str">
        <x:v>Se confirmado, landing page/site institucional com portfólio. Catálogo visual com pedido de orçamento. Formulário qualificado e integração com WhatsApp/CRM.</x:v>
      </x:c>
      <x:c r="AA51" s="23" t="str">
        <x:v>Apresentar um protótipo curto para marcenarias e móveis planejados, destacar portfólio e orçamento no celular, e pedir confirmação do processo atual antes de afirmar qualquer problema interno.</x:v>
      </x:c>
      <x:c r="AB51" s="23" t="str">
        <x:v>Nome, endereço e telefone publicados no diretório indicado em Fontes.</x:v>
      </x:c>
      <x:c r="AC51" s="35" t="n">
        <x:v>33</x:v>
      </x:c>
      <x:c r="AD51" s="23" t="str">
        <x:v>Prioridade D — Baixa</x:v>
      </x:c>
      <x:c r="AE51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1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1" s="23"/>
      <x:c r="AH51" s="23"/>
      <x:c r="AI51" s="38" t="d">
        <x:v>2026-10-18T15:00:00.000Z</x:v>
      </x:c>
      <x:c r="AJ51" s="20" t="str">
        <x:v>não contatado</x:v>
      </x:c>
      <x:c r="AK51" s="20" t="str"/>
      <x:c r="AL51" s="41"/>
      <x:c r="AM51" s="41"/>
    </x:row>
    <x:row r="52">
      <x:c r="A52" s="20" t="str">
        <x:v>5a5d624b077a</x:v>
      </x:c>
      <x:c r="B52" s="20" t="str">
        <x:v>Marcenaria Art Móveis</x:v>
      </x:c>
      <x:c r="C52" s="20" t="str">
        <x:v>Marcenarias e móveis planejados</x:v>
      </x:c>
      <x:c r="D52" s="23" t="str">
        <x:v>Avenida Jamil Scaff, 2271 - Bairro: Conjunto Habitacional Alexandre Urbanas - Londrina - PR - CEP: 86037-000</x:v>
      </x:c>
      <x:c r="E52" s="23" t="str">
        <x:v>Conjunto Habitacional Alexandre Urbanas</x:v>
      </x:c>
      <x:c r="F52" s="20" t="str">
        <x:v>Londrina</x:v>
      </x:c>
      <x:c r="G52" s="20" t="str">
        <x:v>PR</x:v>
      </x:c>
      <x:c r="H52" s="20" t="str">
        <x:v>(43) 3356-2197</x:v>
      </x:c>
      <x:c r="I52" s="20" t="str">
        <x:v>NÃO IDENTIFICADO</x:v>
      </x:c>
      <x:c r="J52" s="20" t="str"/>
      <x:c r="K52" s="20" t="e">
        <x:f>HYPERLINK("https://www.google.com/maps/search/?api=1&amp;query=Marcenaria+Art+M%C3%B3veis+Avenida+Jamil+Scaff%2C+2271+-+Bairro%3A+Conjunto+Habitacional+Alexandre+Urbanas+-+Londrina+-+PR+-+CEP%3A+86037-000","Abrir mapa")</x:f>
        <x:v>HYPERLINK is not implemented. linkLocation=https://www.google.com/maps/search/?api=1&amp;query=Marcenaria+Art+M%C3%B3veis+Avenida+Jamil+Scaff%2C+2271+-+Bairro%3A+Conjunto+Habitacional+Alexandre+Urbanas+-+Londrina+-+PR+-+CEP%3A+86037-000, friendlyName=Abrir mapa</x:v>
      </x:c>
      <x:c r="L52" s="26"/>
      <x:c r="M52" s="29"/>
      <x:c r="N52" s="20"/>
      <x:c r="O52" s="20" t="str">
        <x:v>NÃO IDENTIFICADO</x:v>
      </x:c>
      <x:c r="P52" s="20" t="str">
        <x:v>NÃO APLICÁVEL</x:v>
      </x:c>
      <x:c r="Q52" s="32"/>
      <x:c r="R52" s="20" t="str">
        <x:v>NÃO IDENTIFICADA</x:v>
      </x:c>
      <x:c r="S52" s="20"/>
      <x:c r="T52" s="20"/>
      <x:c r="U52" s="20" t="str">
        <x:v>NÃO IDENTIFICADO</x:v>
      </x:c>
      <x:c r="V52" s="20" t="str">
        <x:v>NÃO IDENTIFICADO</x:v>
      </x:c>
      <x:c r="W52" s="20" t="str">
        <x:v>NÃO IDENTIFICADO</x:v>
      </x:c>
      <x:c r="X52" s="23" t="str">
        <x:v>Marcenaria e móveis sob medida/planejados (categoria pública; confirmar escopo diretamente).</x:v>
      </x:c>
      <x:c r="Y52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2" s="23" t="str">
        <x:v>Se confirmado, landing page/site institucional com portfólio. Catálogo visual com pedido de orçamento. Formulário qualificado e integração com WhatsApp/CRM.</x:v>
      </x:c>
      <x:c r="AA52" s="23" t="str">
        <x:v>Apresentar um protótipo curto para marcenarias e móveis planejados, destacar portfólio e orçamento no celular, e pedir confirmação do processo atual antes de afirmar qualquer problema interno.</x:v>
      </x:c>
      <x:c r="AB52" s="23" t="str">
        <x:v>Nome, endereço e telefone publicados no diretório indicado em Fontes.</x:v>
      </x:c>
      <x:c r="AC52" s="35" t="n">
        <x:v>33</x:v>
      </x:c>
      <x:c r="AD52" s="23" t="str">
        <x:v>Prioridade D — Baixa</x:v>
      </x:c>
      <x:c r="AE52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2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2" s="23"/>
      <x:c r="AH52" s="23"/>
      <x:c r="AI52" s="38" t="d">
        <x:v>2026-10-18T15:00:00.000Z</x:v>
      </x:c>
      <x:c r="AJ52" s="20" t="str">
        <x:v>não contatado</x:v>
      </x:c>
      <x:c r="AK52" s="20" t="str"/>
      <x:c r="AL52" s="41"/>
      <x:c r="AM52" s="41"/>
    </x:row>
    <x:row r="53">
      <x:c r="A53" s="20" t="str">
        <x:v>ccc81d7c0041</x:v>
      </x:c>
      <x:c r="B53" s="20" t="str">
        <x:v>Marcenaria Bianchi</x:v>
      </x:c>
      <x:c r="C53" s="20" t="str">
        <x:v>Marcenarias e móveis planejados</x:v>
      </x:c>
      <x:c r="D53" s="23" t="str">
        <x:v>Avenida Jamil Scaff, 15 - Bairro: Conjunto Habitacional Alexandre Urbanas - Londrina - PR - CEP: 86037-000</x:v>
      </x:c>
      <x:c r="E53" s="23" t="str">
        <x:v>Conjunto Habitacional Alexandre Urbanas</x:v>
      </x:c>
      <x:c r="F53" s="20" t="str">
        <x:v>Londrina</x:v>
      </x:c>
      <x:c r="G53" s="20" t="str">
        <x:v>PR</x:v>
      </x:c>
      <x:c r="H53" s="20" t="str">
        <x:v>(43) 3326-9334</x:v>
      </x:c>
      <x:c r="I53" s="20" t="str">
        <x:v>NÃO IDENTIFICADO</x:v>
      </x:c>
      <x:c r="J53" s="20" t="str"/>
      <x:c r="K53" s="20" t="e">
        <x:f>HYPERLINK("https://www.google.com/maps/search/?api=1&amp;query=Marcenaria+Bianchi+Avenida+Jamil+Scaff%2C+15+-+Bairro%3A+Conjunto+Habitacional+Alexandre+Urbanas+-+Londrina+-+PR+-+CEP%3A+86037-000","Abrir mapa")</x:f>
        <x:v>HYPERLINK is not implemented. linkLocation=https://www.google.com/maps/search/?api=1&amp;query=Marcenaria+Bianchi+Avenida+Jamil+Scaff%2C+15+-+Bairro%3A+Conjunto+Habitacional+Alexandre+Urbanas+-+Londrina+-+PR+-+CEP%3A+86037-000, friendlyName=Abrir mapa</x:v>
      </x:c>
      <x:c r="L53" s="26"/>
      <x:c r="M53" s="29"/>
      <x:c r="N53" s="20"/>
      <x:c r="O53" s="20" t="str">
        <x:v>NÃO IDENTIFICADO</x:v>
      </x:c>
      <x:c r="P53" s="20" t="str">
        <x:v>NÃO APLICÁVEL</x:v>
      </x:c>
      <x:c r="Q53" s="32"/>
      <x:c r="R53" s="20" t="str">
        <x:v>NÃO IDENTIFICADA</x:v>
      </x:c>
      <x:c r="S53" s="20"/>
      <x:c r="T53" s="20"/>
      <x:c r="U53" s="20" t="str">
        <x:v>NÃO IDENTIFICADO</x:v>
      </x:c>
      <x:c r="V53" s="20" t="str">
        <x:v>NÃO IDENTIFICADO</x:v>
      </x:c>
      <x:c r="W53" s="20" t="str">
        <x:v>NÃO IDENTIFICADO</x:v>
      </x:c>
      <x:c r="X53" s="23" t="str">
        <x:v>Marcenaria e móveis sob medida/planejados (categoria pública; confirmar escopo diretamente).</x:v>
      </x:c>
      <x:c r="Y53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3" s="23" t="str">
        <x:v>Se confirmado, landing page/site institucional com portfólio. Catálogo visual com pedido de orçamento. Formulário qualificado e integração com WhatsApp/CRM.</x:v>
      </x:c>
      <x:c r="AA53" s="23" t="str">
        <x:v>Apresentar um protótipo curto para marcenarias e móveis planejados, destacar portfólio e orçamento no celular, e pedir confirmação do processo atual antes de afirmar qualquer problema interno.</x:v>
      </x:c>
      <x:c r="AB53" s="23" t="str">
        <x:v>Nome, endereço e telefone publicados no diretório indicado em Fontes.</x:v>
      </x:c>
      <x:c r="AC53" s="35" t="n">
        <x:v>33</x:v>
      </x:c>
      <x:c r="AD53" s="23" t="str">
        <x:v>Prioridade D — Baixa</x:v>
      </x:c>
      <x:c r="AE53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3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3" s="23"/>
      <x:c r="AH53" s="23"/>
      <x:c r="AI53" s="38" t="d">
        <x:v>2026-10-18T15:00:00.000Z</x:v>
      </x:c>
      <x:c r="AJ53" s="20" t="str">
        <x:v>não contatado</x:v>
      </x:c>
      <x:c r="AK53" s="20" t="str"/>
      <x:c r="AL53" s="41"/>
      <x:c r="AM53" s="41"/>
    </x:row>
    <x:row r="54">
      <x:c r="A54" s="20" t="str">
        <x:v>69d1522b8392</x:v>
      </x:c>
      <x:c r="B54" s="20" t="str">
        <x:v>Marcenaria Brasil</x:v>
      </x:c>
      <x:c r="C54" s="20" t="str">
        <x:v>Marcenarias e móveis planejados</x:v>
      </x:c>
      <x:c r="D54" s="23" t="str">
        <x:v>Avenida Duque de Caxias, 5098 - Bairro: Vila São Caetano - Londrina - PR - CEP: 86025-140</x:v>
      </x:c>
      <x:c r="E54" s="23" t="str">
        <x:v>Vila São Caetano</x:v>
      </x:c>
      <x:c r="F54" s="20" t="str">
        <x:v>Londrina</x:v>
      </x:c>
      <x:c r="G54" s="20" t="str">
        <x:v>PR</x:v>
      </x:c>
      <x:c r="H54" s="20" t="str">
        <x:v>(43) 3321-2050</x:v>
      </x:c>
      <x:c r="I54" s="20" t="str">
        <x:v>NÃO IDENTIFICADO</x:v>
      </x:c>
      <x:c r="J54" s="20" t="str"/>
      <x:c r="K54" s="20" t="e">
        <x:f>HYPERLINK("https://www.google.com/maps/search/?api=1&amp;query=Marcenaria+Brasil+Avenida+Duque+de+Caxias%2C+5098+-+Bairro%3A+Vila+S%C3%A3o+Caetano+-+Londrina+-+PR+-+CEP%3A+86025-140","Abrir mapa")</x:f>
        <x:v>HYPERLINK is not implemented. linkLocation=https://www.google.com/maps/search/?api=1&amp;query=Marcenaria+Brasil+Avenida+Duque+de+Caxias%2C+5098+-+Bairro%3A+Vila+S%C3%A3o+Caetano+-+Londrina+-+PR+-+CEP%3A+86025-140, friendlyName=Abrir mapa</x:v>
      </x:c>
      <x:c r="L54" s="26"/>
      <x:c r="M54" s="29"/>
      <x:c r="N54" s="20"/>
      <x:c r="O54" s="20" t="str">
        <x:v>NÃO IDENTIFICADO</x:v>
      </x:c>
      <x:c r="P54" s="20" t="str">
        <x:v>NÃO APLICÁVEL</x:v>
      </x:c>
      <x:c r="Q54" s="32"/>
      <x:c r="R54" s="20" t="str">
        <x:v>NÃO IDENTIFICADA</x:v>
      </x:c>
      <x:c r="S54" s="20"/>
      <x:c r="T54" s="20"/>
      <x:c r="U54" s="20" t="str">
        <x:v>NÃO IDENTIFICADO</x:v>
      </x:c>
      <x:c r="V54" s="20" t="str">
        <x:v>NÃO IDENTIFICADO</x:v>
      </x:c>
      <x:c r="W54" s="20" t="str">
        <x:v>NÃO IDENTIFICADO</x:v>
      </x:c>
      <x:c r="X54" s="23" t="str">
        <x:v>Marcenaria e móveis sob medida/planejados (categoria pública; confirmar escopo diretamente).</x:v>
      </x:c>
      <x:c r="Y54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4" s="23" t="str">
        <x:v>Se confirmado, landing page/site institucional com portfólio. Catálogo visual com pedido de orçamento. Formulário qualificado e integração com WhatsApp/CRM.</x:v>
      </x:c>
      <x:c r="AA54" s="23" t="str">
        <x:v>Apresentar um protótipo curto para marcenarias e móveis planejados, destacar portfólio e orçamento no celular, e pedir confirmação do processo atual antes de afirmar qualquer problema interno.</x:v>
      </x:c>
      <x:c r="AB54" s="23" t="str">
        <x:v>Nome, endereço e telefone publicados no diretório indicado em Fontes.</x:v>
      </x:c>
      <x:c r="AC54" s="35" t="n">
        <x:v>33</x:v>
      </x:c>
      <x:c r="AD54" s="23" t="str">
        <x:v>Prioridade D — Baixa</x:v>
      </x:c>
      <x:c r="AE54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4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4" s="23"/>
      <x:c r="AH54" s="23"/>
      <x:c r="AI54" s="38" t="d">
        <x:v>2026-10-18T15:00:00.000Z</x:v>
      </x:c>
      <x:c r="AJ54" s="20" t="str">
        <x:v>não contatado</x:v>
      </x:c>
      <x:c r="AK54" s="20" t="str"/>
      <x:c r="AL54" s="41"/>
      <x:c r="AM54" s="41"/>
    </x:row>
    <x:row r="55">
      <x:c r="A55" s="20" t="str">
        <x:v>0a5f90cc6c30</x:v>
      </x:c>
      <x:c r="B55" s="20" t="str">
        <x:v>Marcenaria Cianca</x:v>
      </x:c>
      <x:c r="C55" s="20" t="str">
        <x:v>Marcenarias e móveis planejados</x:v>
      </x:c>
      <x:c r="D55" s="23" t="str">
        <x:v>Rua Santa Terezinha 428 - Bairro: Vila Santa Terezinha - Londrina - PR - CEP: 86027-620</x:v>
      </x:c>
      <x:c r="E55" s="23" t="str">
        <x:v>Vila Santa Terezinha</x:v>
      </x:c>
      <x:c r="F55" s="20" t="str">
        <x:v>Londrina</x:v>
      </x:c>
      <x:c r="G55" s="20" t="str">
        <x:v>PR</x:v>
      </x:c>
      <x:c r="H55" s="20" t="str">
        <x:v>(43) 3329-5208</x:v>
      </x:c>
      <x:c r="I55" s="20" t="str">
        <x:v>NÃO IDENTIFICADO</x:v>
      </x:c>
      <x:c r="J55" s="20" t="str"/>
      <x:c r="K55" s="20" t="e">
        <x:f>HYPERLINK("https://www.google.com/maps/search/?api=1&amp;query=Marcenaria+Cianca+Rua+Santa+Terezinha+428+-+Bairro%3A+Vila+Santa+Terezinha+-+Londrina+-+PR+-+CEP%3A+86027-620","Abrir mapa")</x:f>
        <x:v>HYPERLINK is not implemented. linkLocation=https://www.google.com/maps/search/?api=1&amp;query=Marcenaria+Cianca+Rua+Santa+Terezinha+428+-+Bairro%3A+Vila+Santa+Terezinha+-+Londrina+-+PR+-+CEP%3A+86027-620, friendlyName=Abrir mapa</x:v>
      </x:c>
      <x:c r="L55" s="26"/>
      <x:c r="M55" s="29"/>
      <x:c r="N55" s="20"/>
      <x:c r="O55" s="20" t="str">
        <x:v>NÃO IDENTIFICADO</x:v>
      </x:c>
      <x:c r="P55" s="20" t="str">
        <x:v>NÃO APLICÁVEL</x:v>
      </x:c>
      <x:c r="Q55" s="32"/>
      <x:c r="R55" s="20" t="str">
        <x:v>NÃO IDENTIFICADA</x:v>
      </x:c>
      <x:c r="S55" s="20"/>
      <x:c r="T55" s="20"/>
      <x:c r="U55" s="20" t="str">
        <x:v>NÃO IDENTIFICADO</x:v>
      </x:c>
      <x:c r="V55" s="20" t="str">
        <x:v>NÃO IDENTIFICADO</x:v>
      </x:c>
      <x:c r="W55" s="20" t="str">
        <x:v>NÃO IDENTIFICADO</x:v>
      </x:c>
      <x:c r="X55" s="23" t="str">
        <x:v>Marcenaria e móveis sob medida/planejados (categoria pública; confirmar escopo diretamente).</x:v>
      </x:c>
      <x:c r="Y55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5" s="23" t="str">
        <x:v>Se confirmado, landing page/site institucional com portfólio. Catálogo visual com pedido de orçamento. Formulário qualificado e integração com WhatsApp/CRM.</x:v>
      </x:c>
      <x:c r="AA55" s="23" t="str">
        <x:v>Apresentar um protótipo curto para marcenarias e móveis planejados, destacar portfólio e orçamento no celular, e pedir confirmação do processo atual antes de afirmar qualquer problema interno.</x:v>
      </x:c>
      <x:c r="AB55" s="23" t="str">
        <x:v>Nome, endereço e telefone publicados no diretório indicado em Fontes.</x:v>
      </x:c>
      <x:c r="AC55" s="35" t="n">
        <x:v>33</x:v>
      </x:c>
      <x:c r="AD55" s="23" t="str">
        <x:v>Prioridade D — Baixa</x:v>
      </x:c>
      <x:c r="AE55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5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5" s="23"/>
      <x:c r="AH55" s="23"/>
      <x:c r="AI55" s="38" t="d">
        <x:v>2026-10-18T15:00:00.000Z</x:v>
      </x:c>
      <x:c r="AJ55" s="20" t="str">
        <x:v>não contatado</x:v>
      </x:c>
      <x:c r="AK55" s="20" t="str"/>
      <x:c r="AL55" s="41"/>
      <x:c r="AM55" s="41"/>
    </x:row>
    <x:row r="56">
      <x:c r="A56" s="20" t="str">
        <x:v>03720f0b654e</x:v>
      </x:c>
      <x:c r="B56" s="20" t="str">
        <x:v>Marcenaria Cristal I</x:v>
      </x:c>
      <x:c r="C56" s="20" t="str">
        <x:v>Marcenarias e móveis planejados</x:v>
      </x:c>
      <x:c r="D56" s="23" t="str">
        <x:v>Rua das Castanheiras, 441 - Bairro: Leonor - Londrina - PR - CEP: 86071-140</x:v>
      </x:c>
      <x:c r="E56" s="23" t="str">
        <x:v>Leonor</x:v>
      </x:c>
      <x:c r="F56" s="20" t="str">
        <x:v>Londrina</x:v>
      </x:c>
      <x:c r="G56" s="20" t="str">
        <x:v>PR</x:v>
      </x:c>
      <x:c r="H56" s="20" t="str">
        <x:v>(43) 3328-4985</x:v>
      </x:c>
      <x:c r="I56" s="20" t="str">
        <x:v>NÃO IDENTIFICADO</x:v>
      </x:c>
      <x:c r="J56" s="20" t="str"/>
      <x:c r="K56" s="20" t="e">
        <x:f>HYPERLINK("https://www.google.com/maps/search/?api=1&amp;query=Marcenaria+Cristal+I+Rua+das+Castanheiras%2C+441+-+Bairro%3A+Leonor+-+Londrina+-+PR+-+CEP%3A+86071-140","Abrir mapa")</x:f>
        <x:v>HYPERLINK is not implemented. linkLocation=https://www.google.com/maps/search/?api=1&amp;query=Marcenaria+Cristal+I+Rua+das+Castanheiras%2C+441+-+Bairro%3A+Leonor+-+Londrina+-+PR+-+CEP%3A+86071-140, friendlyName=Abrir mapa</x:v>
      </x:c>
      <x:c r="L56" s="26"/>
      <x:c r="M56" s="29"/>
      <x:c r="N56" s="20"/>
      <x:c r="O56" s="20" t="str">
        <x:v>NÃO IDENTIFICADO</x:v>
      </x:c>
      <x:c r="P56" s="20" t="str">
        <x:v>NÃO APLICÁVEL</x:v>
      </x:c>
      <x:c r="Q56" s="32"/>
      <x:c r="R56" s="20" t="str">
        <x:v>NÃO IDENTIFICADA</x:v>
      </x:c>
      <x:c r="S56" s="20"/>
      <x:c r="T56" s="20"/>
      <x:c r="U56" s="20" t="str">
        <x:v>NÃO IDENTIFICADO</x:v>
      </x:c>
      <x:c r="V56" s="20" t="str">
        <x:v>NÃO IDENTIFICADO</x:v>
      </x:c>
      <x:c r="W56" s="20" t="str">
        <x:v>NÃO IDENTIFICADO</x:v>
      </x:c>
      <x:c r="X56" s="23" t="str">
        <x:v>Marcenaria e móveis sob medida/planejados (categoria pública; confirmar escopo diretamente).</x:v>
      </x:c>
      <x:c r="Y56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6" s="23" t="str">
        <x:v>Se confirmado, landing page/site institucional com portfólio. Catálogo visual com pedido de orçamento. Formulário qualificado e integração com WhatsApp/CRM.</x:v>
      </x:c>
      <x:c r="AA56" s="23" t="str">
        <x:v>Apresentar um protótipo curto para marcenarias e móveis planejados, destacar portfólio e orçamento no celular, e pedir confirmação do processo atual antes de afirmar qualquer problema interno.</x:v>
      </x:c>
      <x:c r="AB56" s="23" t="str">
        <x:v>Nome, endereço e telefone publicados no diretório indicado em Fontes.</x:v>
      </x:c>
      <x:c r="AC56" s="35" t="n">
        <x:v>33</x:v>
      </x:c>
      <x:c r="AD56" s="23" t="str">
        <x:v>Prioridade D — Baixa</x:v>
      </x:c>
      <x:c r="AE56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6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6" s="23"/>
      <x:c r="AH56" s="23"/>
      <x:c r="AI56" s="38" t="d">
        <x:v>2026-10-18T15:00:00.000Z</x:v>
      </x:c>
      <x:c r="AJ56" s="20" t="str">
        <x:v>não contatado</x:v>
      </x:c>
      <x:c r="AK56" s="20" t="str"/>
      <x:c r="AL56" s="41"/>
      <x:c r="AM56" s="41"/>
    </x:row>
    <x:row r="57">
      <x:c r="A57" s="20" t="str">
        <x:v>a4f7b4ce5cdf</x:v>
      </x:c>
      <x:c r="B57" s="20" t="str">
        <x:v>Marcenaria Cristal II</x:v>
      </x:c>
      <x:c r="C57" s="20" t="str">
        <x:v>Marcenarias e móveis planejados</x:v>
      </x:c>
      <x:c r="D57" s="23" t="str">
        <x:v>Rua Eucaliptos, 500 - Bairro: Leonor - Londrina - PR - CEP: 86071-110</x:v>
      </x:c>
      <x:c r="E57" s="23" t="str">
        <x:v>Leonor</x:v>
      </x:c>
      <x:c r="F57" s="20" t="str">
        <x:v>Londrina</x:v>
      </x:c>
      <x:c r="G57" s="20" t="str">
        <x:v>PR</x:v>
      </x:c>
      <x:c r="H57" s="20" t="str">
        <x:v>(43) 3328-0973</x:v>
      </x:c>
      <x:c r="I57" s="20" t="str">
        <x:v>NÃO IDENTIFICADO</x:v>
      </x:c>
      <x:c r="J57" s="20" t="str"/>
      <x:c r="K57" s="20" t="e">
        <x:f>HYPERLINK("https://www.google.com/maps/search/?api=1&amp;query=Marcenaria+Cristal+II+Rua+Eucaliptos%2C+500+-+Bairro%3A+Leonor+-+Londrina+-+PR+-+CEP%3A+86071-110","Abrir mapa")</x:f>
        <x:v>HYPERLINK is not implemented. linkLocation=https://www.google.com/maps/search/?api=1&amp;query=Marcenaria+Cristal+II+Rua+Eucaliptos%2C+500+-+Bairro%3A+Leonor+-+Londrina+-+PR+-+CEP%3A+86071-110, friendlyName=Abrir mapa</x:v>
      </x:c>
      <x:c r="L57" s="26"/>
      <x:c r="M57" s="29"/>
      <x:c r="N57" s="20"/>
      <x:c r="O57" s="20" t="str">
        <x:v>NÃO IDENTIFICADO</x:v>
      </x:c>
      <x:c r="P57" s="20" t="str">
        <x:v>NÃO APLICÁVEL</x:v>
      </x:c>
      <x:c r="Q57" s="32"/>
      <x:c r="R57" s="20" t="str">
        <x:v>NÃO IDENTIFICADA</x:v>
      </x:c>
      <x:c r="S57" s="20"/>
      <x:c r="T57" s="20"/>
      <x:c r="U57" s="20" t="str">
        <x:v>NÃO IDENTIFICADO</x:v>
      </x:c>
      <x:c r="V57" s="20" t="str">
        <x:v>NÃO IDENTIFICADO</x:v>
      </x:c>
      <x:c r="W57" s="20" t="str">
        <x:v>NÃO IDENTIFICADO</x:v>
      </x:c>
      <x:c r="X57" s="23" t="str">
        <x:v>Marcenaria e móveis sob medida/planejados (categoria pública; confirmar escopo diretamente).</x:v>
      </x:c>
      <x:c r="Y57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7" s="23" t="str">
        <x:v>Se confirmado, landing page/site institucional com portfólio. Catálogo visual com pedido de orçamento. Formulário qualificado e integração com WhatsApp/CRM.</x:v>
      </x:c>
      <x:c r="AA57" s="23" t="str">
        <x:v>Apresentar um protótipo curto para marcenarias e móveis planejados, destacar portfólio e orçamento no celular, e pedir confirmação do processo atual antes de afirmar qualquer problema interno.</x:v>
      </x:c>
      <x:c r="AB57" s="23" t="str">
        <x:v>Nome, endereço e telefone publicados no diretório indicado em Fontes.</x:v>
      </x:c>
      <x:c r="AC57" s="35" t="n">
        <x:v>33</x:v>
      </x:c>
      <x:c r="AD57" s="23" t="str">
        <x:v>Prioridade D — Baixa</x:v>
      </x:c>
      <x:c r="AE57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7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7" s="23"/>
      <x:c r="AH57" s="23"/>
      <x:c r="AI57" s="38" t="d">
        <x:v>2026-10-18T15:00:00.000Z</x:v>
      </x:c>
      <x:c r="AJ57" s="20" t="str">
        <x:v>não contatado</x:v>
      </x:c>
      <x:c r="AK57" s="20" t="str"/>
      <x:c r="AL57" s="41"/>
      <x:c r="AM57" s="41"/>
    </x:row>
    <x:row r="58">
      <x:c r="A58" s="20" t="str">
        <x:v>ccacf19c70e4</x:v>
      </x:c>
      <x:c r="B58" s="20" t="str">
        <x:v>Marcenaria Deames Trink</x:v>
      </x:c>
      <x:c r="C58" s="20" t="str">
        <x:v>Marcenarias e móveis planejados</x:v>
      </x:c>
      <x:c r="D58" s="23" t="str">
        <x:v>Rua Sebastião Honorato Nascimento, 148 - Bairro: Conjunto Professora Hilda Mandarino - Londrina - PR - CEP: 86080-310</x:v>
      </x:c>
      <x:c r="E58" s="23" t="str">
        <x:v>Conjunto Professora Hilda Mandarino</x:v>
      </x:c>
      <x:c r="F58" s="20" t="str">
        <x:v>Londrina</x:v>
      </x:c>
      <x:c r="G58" s="20" t="str">
        <x:v>PR</x:v>
      </x:c>
      <x:c r="H58" s="20" t="str">
        <x:v>(43) 3348-1367</x:v>
      </x:c>
      <x:c r="I58" s="20" t="str">
        <x:v>NÃO IDENTIFICADO</x:v>
      </x:c>
      <x:c r="J58" s="20" t="str"/>
      <x:c r="K58" s="20" t="e">
        <x:f>HYPERLINK("https://www.google.com/maps/search/?api=1&amp;query=Marcenaria+Deames+Trink+Rua+Sebasti%C3%A3o+Honorato+Nascimento%2C+148+-+Bairro%3A+Conjunto+Professora+Hilda+Mandarino+-+Londrina+-+PR+-+CEP%3A+86080-310","Abrir mapa")</x:f>
        <x:v>HYPERLINK is not implemented. linkLocation=https://www.google.com/maps/search/?api=1&amp;query=Marcenaria+Deames+Trink+Rua+Sebasti%C3%A3o+Honorato+Nascimento%2C+148+-+Bairro%3A+Conjunto+Professora+Hilda+Mandarino+-+Londrina+-+PR+-+CEP%3A+86080-310, friendlyName=Abrir mapa</x:v>
      </x:c>
      <x:c r="L58" s="26"/>
      <x:c r="M58" s="29"/>
      <x:c r="N58" s="20"/>
      <x:c r="O58" s="20" t="str">
        <x:v>NÃO IDENTIFICADO</x:v>
      </x:c>
      <x:c r="P58" s="20" t="str">
        <x:v>NÃO APLICÁVEL</x:v>
      </x:c>
      <x:c r="Q58" s="32"/>
      <x:c r="R58" s="20" t="str">
        <x:v>NÃO IDENTIFICADA</x:v>
      </x:c>
      <x:c r="S58" s="20"/>
      <x:c r="T58" s="20"/>
      <x:c r="U58" s="20" t="str">
        <x:v>NÃO IDENTIFICADO</x:v>
      </x:c>
      <x:c r="V58" s="20" t="str">
        <x:v>NÃO IDENTIFICADO</x:v>
      </x:c>
      <x:c r="W58" s="20" t="str">
        <x:v>NÃO IDENTIFICADO</x:v>
      </x:c>
      <x:c r="X58" s="23" t="str">
        <x:v>Marcenaria e móveis sob medida/planejados (categoria pública; confirmar escopo diretamente).</x:v>
      </x:c>
      <x:c r="Y58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8" s="23" t="str">
        <x:v>Se confirmado, landing page/site institucional com portfólio. Catálogo visual com pedido de orçamento. Formulário qualificado e integração com WhatsApp/CRM.</x:v>
      </x:c>
      <x:c r="AA58" s="23" t="str">
        <x:v>Apresentar um protótipo curto para marcenarias e móveis planejados, destacar portfólio e orçamento no celular, e pedir confirmação do processo atual antes de afirmar qualquer problema interno.</x:v>
      </x:c>
      <x:c r="AB58" s="23" t="str">
        <x:v>Nome, endereço e telefone publicados no diretório indicado em Fontes.</x:v>
      </x:c>
      <x:c r="AC58" s="35" t="n">
        <x:v>33</x:v>
      </x:c>
      <x:c r="AD58" s="23" t="str">
        <x:v>Prioridade D — Baixa</x:v>
      </x:c>
      <x:c r="AE58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8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8" s="23"/>
      <x:c r="AH58" s="23"/>
      <x:c r="AI58" s="38" t="d">
        <x:v>2026-10-18T15:00:00.000Z</x:v>
      </x:c>
      <x:c r="AJ58" s="20" t="str">
        <x:v>não contatado</x:v>
      </x:c>
      <x:c r="AK58" s="20" t="str"/>
      <x:c r="AL58" s="41"/>
      <x:c r="AM58" s="41"/>
    </x:row>
    <x:row r="59">
      <x:c r="A59" s="20" t="str">
        <x:v>1f9b1536ac96</x:v>
      </x:c>
      <x:c r="B59" s="20" t="str">
        <x:v>Marcenaria Do Elias</x:v>
      </x:c>
      <x:c r="C59" s="20" t="str">
        <x:v>Marcenarias e móveis planejados</x:v>
      </x:c>
      <x:c r="D59" s="23" t="str">
        <x:v>Avenida Luís Pasteur, 425 - Bairro: Cilo 3 - Londrina - PR - CEP: 86073-020</x:v>
      </x:c>
      <x:c r="E59" s="23" t="str">
        <x:v>Cilo 3</x:v>
      </x:c>
      <x:c r="F59" s="20" t="str">
        <x:v>Londrina</x:v>
      </x:c>
      <x:c r="G59" s="20" t="str">
        <x:v>PR</x:v>
      </x:c>
      <x:c r="H59" s="20" t="str">
        <x:v>(43) 3328-7943</x:v>
      </x:c>
      <x:c r="I59" s="20" t="str">
        <x:v>NÃO IDENTIFICADO</x:v>
      </x:c>
      <x:c r="J59" s="20" t="str"/>
      <x:c r="K59" s="20" t="e">
        <x:f>HYPERLINK("https://www.google.com/maps/search/?api=1&amp;query=Marcenaria+Do+Elias+Avenida+Lu%C3%ADs+Pasteur%2C+425+-+Bairro%3A+Cilo+3+-+Londrina+-+PR+-+CEP%3A+86073-020","Abrir mapa")</x:f>
        <x:v>HYPERLINK is not implemented. linkLocation=https://www.google.com/maps/search/?api=1&amp;query=Marcenaria+Do+Elias+Avenida+Lu%C3%ADs+Pasteur%2C+425+-+Bairro%3A+Cilo+3+-+Londrina+-+PR+-+CEP%3A+86073-020, friendlyName=Abrir mapa</x:v>
      </x:c>
      <x:c r="L59" s="26"/>
      <x:c r="M59" s="29"/>
      <x:c r="N59" s="20"/>
      <x:c r="O59" s="20" t="str">
        <x:v>NÃO IDENTIFICADO</x:v>
      </x:c>
      <x:c r="P59" s="20" t="str">
        <x:v>NÃO APLICÁVEL</x:v>
      </x:c>
      <x:c r="Q59" s="32"/>
      <x:c r="R59" s="20" t="str">
        <x:v>NÃO IDENTIFICADA</x:v>
      </x:c>
      <x:c r="S59" s="20"/>
      <x:c r="T59" s="20"/>
      <x:c r="U59" s="20" t="str">
        <x:v>NÃO IDENTIFICADO</x:v>
      </x:c>
      <x:c r="V59" s="20" t="str">
        <x:v>NÃO IDENTIFICADO</x:v>
      </x:c>
      <x:c r="W59" s="20" t="str">
        <x:v>NÃO IDENTIFICADO</x:v>
      </x:c>
      <x:c r="X59" s="23" t="str">
        <x:v>Marcenaria e móveis sob medida/planejados (categoria pública; confirmar escopo diretamente).</x:v>
      </x:c>
      <x:c r="Y59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59" s="23" t="str">
        <x:v>Se confirmado, landing page/site institucional com portfólio. Catálogo visual com pedido de orçamento. Formulário qualificado e integração com WhatsApp/CRM.</x:v>
      </x:c>
      <x:c r="AA59" s="23" t="str">
        <x:v>Apresentar um protótipo curto para marcenarias e móveis planejados, destacar portfólio e orçamento no celular, e pedir confirmação do processo atual antes de afirmar qualquer problema interno.</x:v>
      </x:c>
      <x:c r="AB59" s="23" t="str">
        <x:v>Nome, endereço e telefone publicados no diretório indicado em Fontes.</x:v>
      </x:c>
      <x:c r="AC59" s="35" t="n">
        <x:v>33</x:v>
      </x:c>
      <x:c r="AD59" s="23" t="str">
        <x:v>Prioridade D — Baixa</x:v>
      </x:c>
      <x:c r="AE59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59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59" s="23"/>
      <x:c r="AH59" s="23"/>
      <x:c r="AI59" s="38" t="d">
        <x:v>2026-10-18T15:00:00.000Z</x:v>
      </x:c>
      <x:c r="AJ59" s="20" t="str">
        <x:v>não contatado</x:v>
      </x:c>
      <x:c r="AK59" s="20" t="str"/>
      <x:c r="AL59" s="41"/>
      <x:c r="AM59" s="41"/>
    </x:row>
    <x:row r="60">
      <x:c r="A60" s="20" t="str">
        <x:v>19cf0496f1c0</x:v>
      </x:c>
      <x:c r="B60" s="20" t="str">
        <x:v>Marcenaria JF Móveis</x:v>
      </x:c>
      <x:c r="C60" s="20" t="str">
        <x:v>Marcenarias e móveis planejados</x:v>
      </x:c>
      <x:c r="D60" s="23" t="str">
        <x:v>Avenida Alexandre Santoro, 1388 B - Bairro: Estados - Londrina - PR - CEP: 86081-110</x:v>
      </x:c>
      <x:c r="E60" s="23" t="str">
        <x:v>Estados</x:v>
      </x:c>
      <x:c r="F60" s="20" t="str">
        <x:v>Londrina</x:v>
      </x:c>
      <x:c r="G60" s="20" t="str">
        <x:v>PR</x:v>
      </x:c>
      <x:c r="H60" s="20" t="str">
        <x:v>(43) 3357-4859</x:v>
      </x:c>
      <x:c r="I60" s="20" t="str">
        <x:v>NÃO IDENTIFICADO</x:v>
      </x:c>
      <x:c r="J60" s="20" t="str"/>
      <x:c r="K60" s="20" t="e">
        <x:f>HYPERLINK("https://www.google.com/maps/search/?api=1&amp;query=Marcenaria+JF+M%C3%B3veis+Avenida+Alexandre+Santoro%2C+1388+B+-+Bairro%3A+Estados+-+Londrina+-+PR+-+CEP%3A+86081-110","Abrir mapa")</x:f>
        <x:v>HYPERLINK is not implemented. linkLocation=https://www.google.com/maps/search/?api=1&amp;query=Marcenaria+JF+M%C3%B3veis+Avenida+Alexandre+Santoro%2C+1388+B+-+Bairro%3A+Estados+-+Londrina+-+PR+-+CEP%3A+86081-110, friendlyName=Abrir mapa</x:v>
      </x:c>
      <x:c r="L60" s="26"/>
      <x:c r="M60" s="29"/>
      <x:c r="N60" s="20"/>
      <x:c r="O60" s="20" t="str">
        <x:v>NÃO IDENTIFICADO</x:v>
      </x:c>
      <x:c r="P60" s="20" t="str">
        <x:v>NÃO APLICÁVEL</x:v>
      </x:c>
      <x:c r="Q60" s="32"/>
      <x:c r="R60" s="20" t="str">
        <x:v>NÃO IDENTIFICADA</x:v>
      </x:c>
      <x:c r="S60" s="20"/>
      <x:c r="T60" s="20"/>
      <x:c r="U60" s="20" t="str">
        <x:v>NÃO IDENTIFICADO</x:v>
      </x:c>
      <x:c r="V60" s="20" t="str">
        <x:v>NÃO IDENTIFICADO</x:v>
      </x:c>
      <x:c r="W60" s="20" t="str">
        <x:v>NÃO IDENTIFICADO</x:v>
      </x:c>
      <x:c r="X60" s="23" t="str">
        <x:v>Marcenaria e móveis sob medida/planejados (categoria pública; confirmar escopo diretamente).</x:v>
      </x:c>
      <x:c r="Y60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60" s="23" t="str">
        <x:v>Se confirmado, landing page/site institucional com portfólio. Catálogo visual com pedido de orçamento. Formulário qualificado e integração com WhatsApp/CRM.</x:v>
      </x:c>
      <x:c r="AA60" s="23" t="str">
        <x:v>Apresentar um protótipo curto para marcenarias e móveis planejados, destacar portfólio e orçamento no celular, e pedir confirmação do processo atual antes de afirmar qualquer problema interno.</x:v>
      </x:c>
      <x:c r="AB60" s="23" t="str">
        <x:v>Nome, endereço e telefone publicados no diretório indicado em Fontes.</x:v>
      </x:c>
      <x:c r="AC60" s="35" t="n">
        <x:v>33</x:v>
      </x:c>
      <x:c r="AD60" s="23" t="str">
        <x:v>Prioridade D — Baixa</x:v>
      </x:c>
      <x:c r="AE60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60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60" s="23"/>
      <x:c r="AH60" s="23"/>
      <x:c r="AI60" s="38" t="d">
        <x:v>2026-10-18T15:00:00.000Z</x:v>
      </x:c>
      <x:c r="AJ60" s="20" t="str">
        <x:v>não contatado</x:v>
      </x:c>
      <x:c r="AK60" s="20" t="str"/>
      <x:c r="AL60" s="41"/>
      <x:c r="AM60" s="41"/>
    </x:row>
    <x:row r="61">
      <x:c r="A61" s="20" t="str">
        <x:v>0e652adbccae</x:v>
      </x:c>
      <x:c r="B61" s="20" t="str">
        <x:v>Marcenaria Londimoveis</x:v>
      </x:c>
      <x:c r="C61" s="20" t="str">
        <x:v>Marcenarias e móveis planejados</x:v>
      </x:c>
      <x:c r="D61" s="23" t="str">
        <x:v>Rua Ruy Virmond Carnascialli, 769 - Bairro: Leonor - Londrina - PR - CEP: 86071-260</x:v>
      </x:c>
      <x:c r="E61" s="23" t="str">
        <x:v>Leonor</x:v>
      </x:c>
      <x:c r="F61" s="20" t="str">
        <x:v>Londrina</x:v>
      </x:c>
      <x:c r="G61" s="20" t="str">
        <x:v>PR</x:v>
      </x:c>
      <x:c r="H61" s="20" t="str">
        <x:v>(43) 3327-9998</x:v>
      </x:c>
      <x:c r="I61" s="20" t="str">
        <x:v>NÃO IDENTIFICADO</x:v>
      </x:c>
      <x:c r="J61" s="20" t="str"/>
      <x:c r="K61" s="20" t="e">
        <x:f>HYPERLINK("https://www.google.com/maps/search/?api=1&amp;query=Marcenaria+Londimoveis+Rua+Ruy+Virmond+Carnascialli%2C+769+-+Bairro%3A+Leonor+-+Londrina+-+PR+-+CEP%3A+86071-260","Abrir mapa")</x:f>
        <x:v>HYPERLINK is not implemented. linkLocation=https://www.google.com/maps/search/?api=1&amp;query=Marcenaria+Londimoveis+Rua+Ruy+Virmond+Carnascialli%2C+769+-+Bairro%3A+Leonor+-+Londrina+-+PR+-+CEP%3A+86071-260, friendlyName=Abrir mapa</x:v>
      </x:c>
      <x:c r="L61" s="26"/>
      <x:c r="M61" s="29"/>
      <x:c r="N61" s="20"/>
      <x:c r="O61" s="20" t="str">
        <x:v>NÃO IDENTIFICADO</x:v>
      </x:c>
      <x:c r="P61" s="20" t="str">
        <x:v>NÃO APLICÁVEL</x:v>
      </x:c>
      <x:c r="Q61" s="32"/>
      <x:c r="R61" s="20" t="str">
        <x:v>NÃO IDENTIFICADA</x:v>
      </x:c>
      <x:c r="S61" s="20"/>
      <x:c r="T61" s="20"/>
      <x:c r="U61" s="20" t="str">
        <x:v>NÃO IDENTIFICADO</x:v>
      </x:c>
      <x:c r="V61" s="20" t="str">
        <x:v>NÃO IDENTIFICADO</x:v>
      </x:c>
      <x:c r="W61" s="20" t="str">
        <x:v>NÃO IDENTIFICADO</x:v>
      </x:c>
      <x:c r="X61" s="23" t="str">
        <x:v>Marcenaria e móveis sob medida/planejados (categoria pública; confirmar escopo diretamente).</x:v>
      </x:c>
      <x:c r="Y61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61" s="23" t="str">
        <x:v>Se confirmado, landing page/site institucional com portfólio. Catálogo visual com pedido de orçamento. Formulário qualificado e integração com WhatsApp/CRM.</x:v>
      </x:c>
      <x:c r="AA61" s="23" t="str">
        <x:v>Apresentar um protótipo curto para marcenarias e móveis planejados, destacar portfólio e orçamento no celular, e pedir confirmação do processo atual antes de afirmar qualquer problema interno.</x:v>
      </x:c>
      <x:c r="AB61" s="23" t="str">
        <x:v>Nome, endereço e telefone publicados no diretório indicado em Fontes.</x:v>
      </x:c>
      <x:c r="AC61" s="35" t="n">
        <x:v>33</x:v>
      </x:c>
      <x:c r="AD61" s="23" t="str">
        <x:v>Prioridade D — Baixa</x:v>
      </x:c>
      <x:c r="AE61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61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61" s="23"/>
      <x:c r="AH61" s="23"/>
      <x:c r="AI61" s="38" t="d">
        <x:v>2026-10-18T15:00:00.000Z</x:v>
      </x:c>
      <x:c r="AJ61" s="20" t="str">
        <x:v>não contatado</x:v>
      </x:c>
      <x:c r="AK61" s="20" t="str"/>
      <x:c r="AL61" s="41"/>
      <x:c r="AM61" s="41"/>
    </x:row>
    <x:row r="62">
      <x:c r="A62" s="20" t="str">
        <x:v>ff0b5d547f72</x:v>
      </x:c>
      <x:c r="B62" s="20" t="str">
        <x:v>Marcenaria Mauri Móveis</x:v>
      </x:c>
      <x:c r="C62" s="20" t="str">
        <x:v>Marcenarias e móveis planejados</x:v>
      </x:c>
      <x:c r="D62" s="23" t="str">
        <x:v>Avenida Mário José Romagnolli, 560 - Bairro: Estados - Londrina - PR - CEP: 86083-140</x:v>
      </x:c>
      <x:c r="E62" s="23" t="str">
        <x:v>Estados</x:v>
      </x:c>
      <x:c r="F62" s="20" t="str">
        <x:v>Londrina</x:v>
      </x:c>
      <x:c r="G62" s="20" t="str">
        <x:v>PR</x:v>
      </x:c>
      <x:c r="H62" s="20" t="str">
        <x:v>(43) 3338-2926</x:v>
      </x:c>
      <x:c r="I62" s="20" t="str">
        <x:v>NÃO IDENTIFICADO</x:v>
      </x:c>
      <x:c r="J62" s="20" t="str"/>
      <x:c r="K62" s="20" t="e">
        <x:f>HYPERLINK("https://www.google.com/maps/search/?api=1&amp;query=Marcenaria+Mauri+M%C3%B3veis+Avenida+M%C3%A1rio+Jos%C3%A9+Romagnolli%2C+560+-+Bairro%3A+Estados+-+Londrina+-+PR+-+CEP%3A+86083-140","Abrir mapa")</x:f>
        <x:v>HYPERLINK is not implemented. linkLocation=https://www.google.com/maps/search/?api=1&amp;query=Marcenaria+Mauri+M%C3%B3veis+Avenida+M%C3%A1rio+Jos%C3%A9+Romagnolli%2C+560+-+Bairro%3A+Estados+-+Londrina+-+PR+-+CEP%3A+86083-140, friendlyName=Abrir mapa</x:v>
      </x:c>
      <x:c r="L62" s="26"/>
      <x:c r="M62" s="29"/>
      <x:c r="N62" s="20"/>
      <x:c r="O62" s="20" t="str">
        <x:v>NÃO IDENTIFICADO</x:v>
      </x:c>
      <x:c r="P62" s="20" t="str">
        <x:v>NÃO APLICÁVEL</x:v>
      </x:c>
      <x:c r="Q62" s="32"/>
      <x:c r="R62" s="20" t="str">
        <x:v>NÃO IDENTIFICADA</x:v>
      </x:c>
      <x:c r="S62" s="20"/>
      <x:c r="T62" s="20"/>
      <x:c r="U62" s="20" t="str">
        <x:v>NÃO IDENTIFICADO</x:v>
      </x:c>
      <x:c r="V62" s="20" t="str">
        <x:v>NÃO IDENTIFICADO</x:v>
      </x:c>
      <x:c r="W62" s="20" t="str">
        <x:v>NÃO IDENTIFICADO</x:v>
      </x:c>
      <x:c r="X62" s="23" t="str">
        <x:v>Marcenaria e móveis sob medida/planejados (categoria pública; confirmar escopo diretamente).</x:v>
      </x:c>
      <x:c r="Y62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62" s="23" t="str">
        <x:v>Se confirmado, landing page/site institucional com portfólio. Catálogo visual com pedido de orçamento. Formulário qualificado e integração com WhatsApp/CRM.</x:v>
      </x:c>
      <x:c r="AA62" s="23" t="str">
        <x:v>Apresentar um protótipo curto para marcenarias e móveis planejados, destacar portfólio e orçamento no celular, e pedir confirmação do processo atual antes de afirmar qualquer problema interno.</x:v>
      </x:c>
      <x:c r="AB62" s="23" t="str">
        <x:v>Nome, endereço e telefone publicados no diretório indicado em Fontes.</x:v>
      </x:c>
      <x:c r="AC62" s="35" t="n">
        <x:v>33</x:v>
      </x:c>
      <x:c r="AD62" s="23" t="str">
        <x:v>Prioridade D — Baixa</x:v>
      </x:c>
      <x:c r="AE62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62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62" s="23"/>
      <x:c r="AH62" s="23"/>
      <x:c r="AI62" s="38" t="d">
        <x:v>2026-10-18T15:00:00.000Z</x:v>
      </x:c>
      <x:c r="AJ62" s="20" t="str">
        <x:v>não contatado</x:v>
      </x:c>
      <x:c r="AK62" s="20" t="str"/>
      <x:c r="AL62" s="41"/>
      <x:c r="AM62" s="41"/>
    </x:row>
    <x:row r="63">
      <x:c r="A63" s="20" t="str">
        <x:v>541cc289e968</x:v>
      </x:c>
      <x:c r="B63" s="20" t="str">
        <x:v>Marcenaria Pica Pau</x:v>
      </x:c>
      <x:c r="C63" s="20" t="str">
        <x:v>Marcenarias e móveis planejados</x:v>
      </x:c>
      <x:c r="D63" s="23" t="str">
        <x:v>Rua Serra da Juréia, 412 - Bairro: Messiânico - Londrina - PR - CEP: 86065-370</x:v>
      </x:c>
      <x:c r="E63" s="23" t="str">
        <x:v>Messiânico</x:v>
      </x:c>
      <x:c r="F63" s="20" t="str">
        <x:v>Londrina</x:v>
      </x:c>
      <x:c r="G63" s="20" t="str">
        <x:v>PR</x:v>
      </x:c>
      <x:c r="H63" s="20" t="str">
        <x:v>(43) 3328-6600</x:v>
      </x:c>
      <x:c r="I63" s="20" t="str">
        <x:v>NÃO IDENTIFICADO</x:v>
      </x:c>
      <x:c r="J63" s="20" t="str"/>
      <x:c r="K63" s="20" t="e">
        <x:f>HYPERLINK("https://www.google.com/maps/search/?api=1&amp;query=Marcenaria+Pica+Pau+Rua+Serra+da+Jur%C3%A9ia%2C+412+-+Bairro%3A+Messi%C3%A2nico+-+Londrina+-+PR+-+CEP%3A+86065-370","Abrir mapa")</x:f>
        <x:v>HYPERLINK is not implemented. linkLocation=https://www.google.com/maps/search/?api=1&amp;query=Marcenaria+Pica+Pau+Rua+Serra+da+Jur%C3%A9ia%2C+412+-+Bairro%3A+Messi%C3%A2nico+-+Londrina+-+PR+-+CEP%3A+86065-370, friendlyName=Abrir mapa</x:v>
      </x:c>
      <x:c r="L63" s="26"/>
      <x:c r="M63" s="29"/>
      <x:c r="N63" s="20"/>
      <x:c r="O63" s="20" t="str">
        <x:v>NÃO IDENTIFICADO</x:v>
      </x:c>
      <x:c r="P63" s="20" t="str">
        <x:v>NÃO APLICÁVEL</x:v>
      </x:c>
      <x:c r="Q63" s="32"/>
      <x:c r="R63" s="20" t="str">
        <x:v>NÃO IDENTIFICADA</x:v>
      </x:c>
      <x:c r="S63" s="20"/>
      <x:c r="T63" s="20"/>
      <x:c r="U63" s="20" t="str">
        <x:v>NÃO IDENTIFICADO</x:v>
      </x:c>
      <x:c r="V63" s="20" t="str">
        <x:v>NÃO IDENTIFICADO</x:v>
      </x:c>
      <x:c r="W63" s="20" t="str">
        <x:v>NÃO IDENTIFICADO</x:v>
      </x:c>
      <x:c r="X63" s="23" t="str">
        <x:v>Marcenaria e móveis sob medida/planejados (categoria pública; confirmar escopo diretamente).</x:v>
      </x:c>
      <x:c r="Y63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63" s="23" t="str">
        <x:v>Se confirmado, landing page/site institucional com portfólio. Catálogo visual com pedido de orçamento. Formulário qualificado e integração com WhatsApp/CRM.</x:v>
      </x:c>
      <x:c r="AA63" s="23" t="str">
        <x:v>Apresentar um protótipo curto para marcenarias e móveis planejados, destacar portfólio e orçamento no celular, e pedir confirmação do processo atual antes de afirmar qualquer problema interno.</x:v>
      </x:c>
      <x:c r="AB63" s="23" t="str">
        <x:v>Nome, endereço e telefone publicados no diretório indicado em Fontes.</x:v>
      </x:c>
      <x:c r="AC63" s="35" t="n">
        <x:v>33</x:v>
      </x:c>
      <x:c r="AD63" s="23" t="str">
        <x:v>Prioridade D — Baixa</x:v>
      </x:c>
      <x:c r="AE63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63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63" s="23"/>
      <x:c r="AH63" s="23"/>
      <x:c r="AI63" s="38" t="d">
        <x:v>2026-10-18T15:00:00.000Z</x:v>
      </x:c>
      <x:c r="AJ63" s="20" t="str">
        <x:v>não contatado</x:v>
      </x:c>
      <x:c r="AK63" s="20" t="str"/>
      <x:c r="AL63" s="41"/>
      <x:c r="AM63" s="41"/>
    </x:row>
    <x:row r="64">
      <x:c r="A64" s="20" t="str">
        <x:v>7b6341b467c6</x:v>
      </x:c>
      <x:c r="B64" s="20" t="str">
        <x:v>Marcenaria Sapia</x:v>
      </x:c>
      <x:c r="C64" s="20" t="str">
        <x:v>Marcenarias e móveis planejados</x:v>
      </x:c>
      <x:c r="D64" s="23" t="str">
        <x:v>Rua Adulcino José Jordão, 178 - Bairro: Shangrilá - Londrina - PR - CEP: 86070-150</x:v>
      </x:c>
      <x:c r="E64" s="23" t="str">
        <x:v>Shangrilá</x:v>
      </x:c>
      <x:c r="F64" s="20" t="str">
        <x:v>Londrina</x:v>
      </x:c>
      <x:c r="G64" s="20" t="str">
        <x:v>PR</x:v>
      </x:c>
      <x:c r="H64" s="20" t="str">
        <x:v>(43) 3357-2968</x:v>
      </x:c>
      <x:c r="I64" s="20" t="str">
        <x:v>NÃO IDENTIFICADO</x:v>
      </x:c>
      <x:c r="J64" s="20" t="str"/>
      <x:c r="K64" s="20" t="e">
        <x:f>HYPERLINK("https://www.google.com/maps/search/?api=1&amp;query=Marcenaria+Sapia+Rua+Adulcino+Jos%C3%A9+Jord%C3%A3o%2C+178+-+Bairro%3A+Shangril%C3%A1+-+Londrina+-+PR+-+CEP%3A+86070-150","Abrir mapa")</x:f>
        <x:v>HYPERLINK is not implemented. linkLocation=https://www.google.com/maps/search/?api=1&amp;query=Marcenaria+Sapia+Rua+Adulcino+Jos%C3%A9+Jord%C3%A3o%2C+178+-+Bairro%3A+Shangril%C3%A1+-+Londrina+-+PR+-+CEP%3A+86070-150, friendlyName=Abrir mapa</x:v>
      </x:c>
      <x:c r="L64" s="26"/>
      <x:c r="M64" s="29"/>
      <x:c r="N64" s="20"/>
      <x:c r="O64" s="20" t="str">
        <x:v>NÃO IDENTIFICADO</x:v>
      </x:c>
      <x:c r="P64" s="20" t="str">
        <x:v>NÃO APLICÁVEL</x:v>
      </x:c>
      <x:c r="Q64" s="32"/>
      <x:c r="R64" s="20" t="str">
        <x:v>NÃO IDENTIFICADA</x:v>
      </x:c>
      <x:c r="S64" s="20"/>
      <x:c r="T64" s="20"/>
      <x:c r="U64" s="20" t="str">
        <x:v>NÃO IDENTIFICADO</x:v>
      </x:c>
      <x:c r="V64" s="20" t="str">
        <x:v>NÃO IDENTIFICADO</x:v>
      </x:c>
      <x:c r="W64" s="20" t="str">
        <x:v>NÃO IDENTIFICADO</x:v>
      </x:c>
      <x:c r="X64" s="23" t="str">
        <x:v>Marcenaria e móveis sob medida/planejados (categoria pública; confirmar escopo diretamente).</x:v>
      </x:c>
      <x:c r="Y64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64" s="23" t="str">
        <x:v>Se confirmado, landing page/site institucional com portfólio. Catálogo visual com pedido de orçamento. Formulário qualificado e integração com WhatsApp/CRM.</x:v>
      </x:c>
      <x:c r="AA64" s="23" t="str">
        <x:v>Apresentar um protótipo curto para marcenarias e móveis planejados, destacar portfólio e orçamento no celular, e pedir confirmação do processo atual antes de afirmar qualquer problema interno.</x:v>
      </x:c>
      <x:c r="AB64" s="23" t="str">
        <x:v>Nome, endereço e telefone publicados no diretório indicado em Fontes.</x:v>
      </x:c>
      <x:c r="AC64" s="35" t="n">
        <x:v>33</x:v>
      </x:c>
      <x:c r="AD64" s="23" t="str">
        <x:v>Prioridade D — Baixa</x:v>
      </x:c>
      <x:c r="AE64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64" s="23" t="e">
        <x:f>HYPERLINK("https://www.encontralondrina.com.br/m/marceneiro-em-londrina.shtml","Fonte 1")</x:f>
        <x:v>HYPERLINK is not implemented. linkLocation=https://www.encontralondrina.com.br/m/marceneiro-em-londrina.shtml, friendlyName=Fonte 1</x:v>
      </x:c>
      <x:c r="AG64" s="23"/>
      <x:c r="AH64" s="23"/>
      <x:c r="AI64" s="38" t="d">
        <x:v>2026-10-18T15:00:00.000Z</x:v>
      </x:c>
      <x:c r="AJ64" s="20" t="str">
        <x:v>não contatado</x:v>
      </x:c>
      <x:c r="AK64" s="20" t="str"/>
      <x:c r="AL64" s="41"/>
      <x:c r="AM64" s="41"/>
    </x:row>
    <x:row r="65">
      <x:c r="A65" s="20" t="str">
        <x:v>9d169fdb709a</x:v>
      </x:c>
      <x:c r="B65" s="20" t="str">
        <x:v>A M Diesel Oficina Mecânica</x:v>
      </x:c>
      <x:c r="C65" s="20" t="str">
        <x:v>Oficinas mecânicas</x:v>
      </x:c>
      <x:c r="D65" s="23" t="str">
        <x:v>Rua Condor, 555 - Bairro: Indústrias Leves - Londrina - PR - CEP: 86030-300</x:v>
      </x:c>
      <x:c r="E65" s="23" t="str">
        <x:v>Indústrias Leves</x:v>
      </x:c>
      <x:c r="F65" s="20" t="str">
        <x:v>Londrina</x:v>
      </x:c>
      <x:c r="G65" s="20" t="str">
        <x:v>PR</x:v>
      </x:c>
      <x:c r="H65" s="20" t="str">
        <x:v>(43) 9149-3015</x:v>
      </x:c>
      <x:c r="I65" s="20" t="str">
        <x:v>NÃO IDENTIFICADO</x:v>
      </x:c>
      <x:c r="J65" s="20" t="str"/>
      <x:c r="K65" s="20" t="e">
        <x:f>HYPERLINK("https://www.google.com/maps/search/?api=1&amp;query=A+M+Diesel+Oficina+Mec%C3%A2nica+Rua+Condor%2C+555+-+Bairro%3A+Ind%C3%BAstrias+Leves+-+Londrina+-+PR+-+CEP%3A+86030-300","Abrir mapa")</x:f>
        <x:v>HYPERLINK is not implemented. linkLocation=https://www.google.com/maps/search/?api=1&amp;query=A+M+Diesel+Oficina+Mec%C3%A2nica+Rua+Condor%2C+555+-+Bairro%3A+Ind%C3%BAstrias+Leves+-+Londrina+-+PR+-+CEP%3A+86030-300, friendlyName=Abrir mapa</x:v>
      </x:c>
      <x:c r="L65" s="26"/>
      <x:c r="M65" s="29"/>
      <x:c r="N65" s="20"/>
      <x:c r="O65" s="20" t="str">
        <x:v>NÃO IDENTIFICADO</x:v>
      </x:c>
      <x:c r="P65" s="20" t="str">
        <x:v>NÃO APLICÁVEL</x:v>
      </x:c>
      <x:c r="Q65" s="32"/>
      <x:c r="R65" s="20" t="str">
        <x:v>NÃO IDENTIFICADA</x:v>
      </x:c>
      <x:c r="S65" s="20"/>
      <x:c r="T65" s="20"/>
      <x:c r="U65" s="20" t="str">
        <x:v>NÃO IDENTIFICADO</x:v>
      </x:c>
      <x:c r="V65" s="20" t="str">
        <x:v>NÃO IDENTIFICADO</x:v>
      </x:c>
      <x:c r="W65" s="20" t="str">
        <x:v>NÃO IDENTIFICADO</x:v>
      </x:c>
      <x:c r="X65" s="23" t="str">
        <x:v>Manutenção e reparação automotiva (categoria pública; confirmar especialidades diretamente).</x:v>
      </x:c>
      <x:c r="Y65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65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65" s="23" t="str">
        <x:v>Apresentar um protótipo curto para oficinas mecânicas, destacar portfólio e orçamento no celular, e pedir confirmação do processo atual antes de afirmar qualquer problema interno.</x:v>
      </x:c>
      <x:c r="AB65" s="23" t="str">
        <x:v>Nome, endereço e telefone publicados no diretório indicado em Fontes.</x:v>
      </x:c>
      <x:c r="AC65" s="35" t="n">
        <x:v>33</x:v>
      </x:c>
      <x:c r="AD65" s="23" t="str">
        <x:v>Prioridade D — Baixa</x:v>
      </x:c>
      <x:c r="AE65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65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65" s="23"/>
      <x:c r="AH65" s="23"/>
      <x:c r="AI65" s="38" t="d">
        <x:v>2026-10-18T15:00:00.000Z</x:v>
      </x:c>
      <x:c r="AJ65" s="20" t="str">
        <x:v>não contatado</x:v>
      </x:c>
      <x:c r="AK65" s="20" t="str"/>
      <x:c r="AL65" s="41"/>
      <x:c r="AM65" s="41"/>
    </x:row>
    <x:row r="66">
      <x:c r="A66" s="20" t="str">
        <x:v>58fe87251638</x:v>
      </x:c>
      <x:c r="B66" s="20" t="str">
        <x:v>Abra Oficina Mecânica</x:v>
      </x:c>
      <x:c r="C66" s="20" t="str">
        <x:v>Oficinas mecânicas</x:v>
      </x:c>
      <x:c r="D66" s="23" t="str">
        <x:v>Avenida Inglaterra, 289 - Bairro: Igapó - Londrina - PR - CEP: 86046-000</x:v>
      </x:c>
      <x:c r="E66" s="23" t="str">
        <x:v>Igapó</x:v>
      </x:c>
      <x:c r="F66" s="20" t="str">
        <x:v>Londrina</x:v>
      </x:c>
      <x:c r="G66" s="20" t="str">
        <x:v>PR</x:v>
      </x:c>
      <x:c r="H66" s="20" t="str">
        <x:v>(43) 3343-0646</x:v>
      </x:c>
      <x:c r="I66" s="20" t="str">
        <x:v>NÃO IDENTIFICADO</x:v>
      </x:c>
      <x:c r="J66" s="20" t="str"/>
      <x:c r="K66" s="20" t="e">
        <x:f>HYPERLINK("https://www.google.com/maps/search/?api=1&amp;query=Abra+Oficina+Mec%C3%A2nica+Avenida+Inglaterra%2C+289+-+Bairro%3A+Igap%C3%B3+-+Londrina+-+PR+-+CEP%3A+86046-000","Abrir mapa")</x:f>
        <x:v>HYPERLINK is not implemented. linkLocation=https://www.google.com/maps/search/?api=1&amp;query=Abra+Oficina+Mec%C3%A2nica+Avenida+Inglaterra%2C+289+-+Bairro%3A+Igap%C3%B3+-+Londrina+-+PR+-+CEP%3A+86046-000, friendlyName=Abrir mapa</x:v>
      </x:c>
      <x:c r="L66" s="26"/>
      <x:c r="M66" s="29"/>
      <x:c r="N66" s="20"/>
      <x:c r="O66" s="20" t="str">
        <x:v>NÃO IDENTIFICADO</x:v>
      </x:c>
      <x:c r="P66" s="20" t="str">
        <x:v>NÃO APLICÁVEL</x:v>
      </x:c>
      <x:c r="Q66" s="32"/>
      <x:c r="R66" s="20" t="str">
        <x:v>NÃO IDENTIFICADA</x:v>
      </x:c>
      <x:c r="S66" s="20"/>
      <x:c r="T66" s="20"/>
      <x:c r="U66" s="20" t="str">
        <x:v>NÃO IDENTIFICADO</x:v>
      </x:c>
      <x:c r="V66" s="20" t="str">
        <x:v>NÃO IDENTIFICADO</x:v>
      </x:c>
      <x:c r="W66" s="20" t="str">
        <x:v>NÃO IDENTIFICADO</x:v>
      </x:c>
      <x:c r="X66" s="23" t="str">
        <x:v>Manutenção e reparação automotiva (categoria pública; confirmar especialidades diretamente).</x:v>
      </x:c>
      <x:c r="Y66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66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66" s="23" t="str">
        <x:v>Apresentar um protótipo curto para oficinas mecânicas, destacar portfólio e orçamento no celular, e pedir confirmação do processo atual antes de afirmar qualquer problema interno.</x:v>
      </x:c>
      <x:c r="AB66" s="23" t="str">
        <x:v>Nome, endereço e telefone publicados no diretório indicado em Fontes.</x:v>
      </x:c>
      <x:c r="AC66" s="35" t="n">
        <x:v>33</x:v>
      </x:c>
      <x:c r="AD66" s="23" t="str">
        <x:v>Prioridade D — Baixa</x:v>
      </x:c>
      <x:c r="AE66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66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66" s="23"/>
      <x:c r="AH66" s="23"/>
      <x:c r="AI66" s="38" t="d">
        <x:v>2026-10-18T15:00:00.000Z</x:v>
      </x:c>
      <x:c r="AJ66" s="20" t="str">
        <x:v>não contatado</x:v>
      </x:c>
      <x:c r="AK66" s="20" t="str"/>
      <x:c r="AL66" s="41"/>
      <x:c r="AM66" s="41"/>
    </x:row>
    <x:row r="67">
      <x:c r="A67" s="20" t="str">
        <x:v>93daac200a36</x:v>
      </x:c>
      <x:c r="B67" s="20" t="str">
        <x:v>CS Auto Mecânica</x:v>
      </x:c>
      <x:c r="C67" s="20" t="str">
        <x:v>Oficinas mecânicas</x:v>
      </x:c>
      <x:c r="D67" s="23" t="str">
        <x:v>Rua Voltaire, 69 - Bairro: Jardim Yoshikawa - Londrina - PR - CEP: 86025-640</x:v>
      </x:c>
      <x:c r="E67" s="23" t="str">
        <x:v>Jardim Yoshikawa</x:v>
      </x:c>
      <x:c r="F67" s="20" t="str">
        <x:v>Londrina</x:v>
      </x:c>
      <x:c r="G67" s="20" t="str">
        <x:v>PR</x:v>
      </x:c>
      <x:c r="H67" s="20" t="str">
        <x:v>(43) 3321-5980</x:v>
      </x:c>
      <x:c r="I67" s="20" t="str">
        <x:v>NÃO IDENTIFICADO</x:v>
      </x:c>
      <x:c r="J67" s="20" t="str"/>
      <x:c r="K67" s="20" t="e">
        <x:f>HYPERLINK("https://www.google.com/maps/search/?api=1&amp;query=CS+Auto+Mec%C3%A2nica+Rua+Voltaire%2C+69+-+Bairro%3A+Jardim+Yoshikawa+-+Londrina+-+PR+-+CEP%3A+86025-640","Abrir mapa")</x:f>
        <x:v>HYPERLINK is not implemented. linkLocation=https://www.google.com/maps/search/?api=1&amp;query=CS+Auto+Mec%C3%A2nica+Rua+Voltaire%2C+69+-+Bairro%3A+Jardim+Yoshikawa+-+Londrina+-+PR+-+CEP%3A+86025-640, friendlyName=Abrir mapa</x:v>
      </x:c>
      <x:c r="L67" s="26"/>
      <x:c r="M67" s="29"/>
      <x:c r="N67" s="20"/>
      <x:c r="O67" s="20" t="str">
        <x:v>NÃO IDENTIFICADO</x:v>
      </x:c>
      <x:c r="P67" s="20" t="str">
        <x:v>NÃO APLICÁVEL</x:v>
      </x:c>
      <x:c r="Q67" s="32"/>
      <x:c r="R67" s="20" t="str">
        <x:v>NÃO IDENTIFICADA</x:v>
      </x:c>
      <x:c r="S67" s="20"/>
      <x:c r="T67" s="20"/>
      <x:c r="U67" s="20" t="str">
        <x:v>NÃO IDENTIFICADO</x:v>
      </x:c>
      <x:c r="V67" s="20" t="str">
        <x:v>NÃO IDENTIFICADO</x:v>
      </x:c>
      <x:c r="W67" s="20" t="str">
        <x:v>NÃO IDENTIFICADO</x:v>
      </x:c>
      <x:c r="X67" s="23" t="str">
        <x:v>Manutenção e reparação automotiva (categoria pública; confirmar especialidades diretamente).</x:v>
      </x:c>
      <x:c r="Y67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67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67" s="23" t="str">
        <x:v>Apresentar um protótipo curto para oficinas mecânicas, destacar portfólio e orçamento no celular, e pedir confirmação do processo atual antes de afirmar qualquer problema interno.</x:v>
      </x:c>
      <x:c r="AB67" s="23" t="str">
        <x:v>Nome, endereço e telefone publicados no diretório indicado em Fontes.</x:v>
      </x:c>
      <x:c r="AC67" s="35" t="n">
        <x:v>33</x:v>
      </x:c>
      <x:c r="AD67" s="23" t="str">
        <x:v>Prioridade D — Baixa</x:v>
      </x:c>
      <x:c r="AE67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67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67" s="23"/>
      <x:c r="AH67" s="23"/>
      <x:c r="AI67" s="38" t="d">
        <x:v>2026-10-18T15:00:00.000Z</x:v>
      </x:c>
      <x:c r="AJ67" s="20" t="str">
        <x:v>não contatado</x:v>
      </x:c>
      <x:c r="AK67" s="20" t="str"/>
      <x:c r="AL67" s="41"/>
      <x:c r="AM67" s="41"/>
    </x:row>
    <x:row r="68">
      <x:c r="A68" s="20" t="str">
        <x:v>622fa19b7a3f</x:v>
      </x:c>
      <x:c r="B68" s="20" t="str">
        <x:v>Capello Oficina Mecânica</x:v>
      </x:c>
      <x:c r="C68" s="20" t="str">
        <x:v>Oficinas mecânicas</x:v>
      </x:c>
      <x:c r="D68" s="23" t="str">
        <x:v>Avenida da Liberdade, 266 - Bairro: Carnascialli - Londrina - PR - CEP: 86077-080</x:v>
      </x:c>
      <x:c r="E68" s="23" t="str">
        <x:v>Carnascialli</x:v>
      </x:c>
      <x:c r="F68" s="20" t="str">
        <x:v>Londrina</x:v>
      </x:c>
      <x:c r="G68" s="20" t="str">
        <x:v>PR</x:v>
      </x:c>
      <x:c r="H68" s="20" t="str">
        <x:v>(43) 3348-5662</x:v>
      </x:c>
      <x:c r="I68" s="20" t="str">
        <x:v>NÃO IDENTIFICADO</x:v>
      </x:c>
      <x:c r="J68" s="20" t="str"/>
      <x:c r="K68" s="20" t="e">
        <x:f>HYPERLINK("https://www.google.com/maps/search/?api=1&amp;query=Capello+Oficina+Mec%C3%A2nica+Avenida+da+Liberdade%2C+266+-+Bairro%3A+Carnascialli+-+Londrina+-+PR+-+CEP%3A+86077-080","Abrir mapa")</x:f>
        <x:v>HYPERLINK is not implemented. linkLocation=https://www.google.com/maps/search/?api=1&amp;query=Capello+Oficina+Mec%C3%A2nica+Avenida+da+Liberdade%2C+266+-+Bairro%3A+Carnascialli+-+Londrina+-+PR+-+CEP%3A+86077-080, friendlyName=Abrir mapa</x:v>
      </x:c>
      <x:c r="L68" s="26"/>
      <x:c r="M68" s="29"/>
      <x:c r="N68" s="20"/>
      <x:c r="O68" s="20" t="str">
        <x:v>NÃO IDENTIFICADO</x:v>
      </x:c>
      <x:c r="P68" s="20" t="str">
        <x:v>NÃO APLICÁVEL</x:v>
      </x:c>
      <x:c r="Q68" s="32"/>
      <x:c r="R68" s="20" t="str">
        <x:v>NÃO IDENTIFICADA</x:v>
      </x:c>
      <x:c r="S68" s="20"/>
      <x:c r="T68" s="20"/>
      <x:c r="U68" s="20" t="str">
        <x:v>NÃO IDENTIFICADO</x:v>
      </x:c>
      <x:c r="V68" s="20" t="str">
        <x:v>NÃO IDENTIFICADO</x:v>
      </x:c>
      <x:c r="W68" s="20" t="str">
        <x:v>NÃO IDENTIFICADO</x:v>
      </x:c>
      <x:c r="X68" s="23" t="str">
        <x:v>Manutenção e reparação automotiva (categoria pública; confirmar especialidades diretamente).</x:v>
      </x:c>
      <x:c r="Y68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68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68" s="23" t="str">
        <x:v>Apresentar um protótipo curto para oficinas mecânicas, destacar portfólio e orçamento no celular, e pedir confirmação do processo atual antes de afirmar qualquer problema interno.</x:v>
      </x:c>
      <x:c r="AB68" s="23" t="str">
        <x:v>Nome, endereço e telefone publicados no diretório indicado em Fontes.</x:v>
      </x:c>
      <x:c r="AC68" s="35" t="n">
        <x:v>33</x:v>
      </x:c>
      <x:c r="AD68" s="23" t="str">
        <x:v>Prioridade D — Baixa</x:v>
      </x:c>
      <x:c r="AE68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68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68" s="23"/>
      <x:c r="AH68" s="23"/>
      <x:c r="AI68" s="38" t="d">
        <x:v>2026-10-18T15:00:00.000Z</x:v>
      </x:c>
      <x:c r="AJ68" s="20" t="str">
        <x:v>não contatado</x:v>
      </x:c>
      <x:c r="AK68" s="20" t="str"/>
      <x:c r="AL68" s="41"/>
      <x:c r="AM68" s="41"/>
    </x:row>
    <x:row r="69">
      <x:c r="A69" s="20" t="str">
        <x:v>42ff091cc331</x:v>
      </x:c>
      <x:c r="B69" s="20" t="str">
        <x:v>Dricar Oficina Mecânica</x:v>
      </x:c>
      <x:c r="C69" s="20" t="str">
        <x:v>Oficinas mecânicas</x:v>
      </x:c>
      <x:c r="D69" s="23" t="str">
        <x:v>Rua Flor-de-jesus, 638 - Bairro: Ricardo - Londrina - PR - CEP: 86035-205</x:v>
      </x:c>
      <x:c r="E69" s="23" t="str">
        <x:v>Ricardo</x:v>
      </x:c>
      <x:c r="F69" s="20" t="str">
        <x:v>Londrina</x:v>
      </x:c>
      <x:c r="G69" s="20" t="str">
        <x:v>PR</x:v>
      </x:c>
      <x:c r="H69" s="20" t="str">
        <x:v>(43) 3329-2519</x:v>
      </x:c>
      <x:c r="I69" s="20" t="str">
        <x:v>NÃO IDENTIFICADO</x:v>
      </x:c>
      <x:c r="J69" s="20" t="str"/>
      <x:c r="K69" s="20" t="e">
        <x:f>HYPERLINK("https://www.google.com/maps/search/?api=1&amp;query=Dricar+Oficina+Mec%C3%A2nica+Rua+Flor-de-jesus%2C+638+-+Bairro%3A+Ricardo+-+Londrina+-+PR+-+CEP%3A+86035-205","Abrir mapa")</x:f>
        <x:v>HYPERLINK is not implemented. linkLocation=https://www.google.com/maps/search/?api=1&amp;query=Dricar+Oficina+Mec%C3%A2nica+Rua+Flor-de-jesus%2C+638+-+Bairro%3A+Ricardo+-+Londrina+-+PR+-+CEP%3A+86035-205, friendlyName=Abrir mapa</x:v>
      </x:c>
      <x:c r="L69" s="26"/>
      <x:c r="M69" s="29"/>
      <x:c r="N69" s="20"/>
      <x:c r="O69" s="20" t="str">
        <x:v>NÃO IDENTIFICADO</x:v>
      </x:c>
      <x:c r="P69" s="20" t="str">
        <x:v>NÃO APLICÁVEL</x:v>
      </x:c>
      <x:c r="Q69" s="32"/>
      <x:c r="R69" s="20" t="str">
        <x:v>NÃO IDENTIFICADA</x:v>
      </x:c>
      <x:c r="S69" s="20"/>
      <x:c r="T69" s="20"/>
      <x:c r="U69" s="20" t="str">
        <x:v>NÃO IDENTIFICADO</x:v>
      </x:c>
      <x:c r="V69" s="20" t="str">
        <x:v>NÃO IDENTIFICADO</x:v>
      </x:c>
      <x:c r="W69" s="20" t="str">
        <x:v>NÃO IDENTIFICADO</x:v>
      </x:c>
      <x:c r="X69" s="23" t="str">
        <x:v>Manutenção e reparação automotiva (categoria pública; confirmar especialidades diretamente).</x:v>
      </x:c>
      <x:c r="Y69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69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69" s="23" t="str">
        <x:v>Apresentar um protótipo curto para oficinas mecânicas, destacar portfólio e orçamento no celular, e pedir confirmação do processo atual antes de afirmar qualquer problema interno.</x:v>
      </x:c>
      <x:c r="AB69" s="23" t="str">
        <x:v>Nome, endereço e telefone publicados no diretório indicado em Fontes.</x:v>
      </x:c>
      <x:c r="AC69" s="35" t="n">
        <x:v>33</x:v>
      </x:c>
      <x:c r="AD69" s="23" t="str">
        <x:v>Prioridade D — Baixa</x:v>
      </x:c>
      <x:c r="AE69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69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69" s="23"/>
      <x:c r="AH69" s="23"/>
      <x:c r="AI69" s="38" t="d">
        <x:v>2026-10-18T15:00:00.000Z</x:v>
      </x:c>
      <x:c r="AJ69" s="20" t="str">
        <x:v>não contatado</x:v>
      </x:c>
      <x:c r="AK69" s="20" t="str"/>
      <x:c r="AL69" s="41"/>
      <x:c r="AM69" s="41"/>
    </x:row>
    <x:row r="70">
      <x:c r="A70" s="20" t="str">
        <x:v>58672128a86a</x:v>
      </x:c>
      <x:c r="B70" s="20" t="str">
        <x:v>Especivans Oficina Mecânica</x:v>
      </x:c>
      <x:c r="C70" s="20" t="str">
        <x:v>Oficinas mecânicas</x:v>
      </x:c>
      <x:c r="D70" s="23" t="str">
        <x:v>Rodovia Cidadão Celso Garcia, 815 - Bairro: Sabará I - Londrina - PR - CEP: 86066-230</x:v>
      </x:c>
      <x:c r="E70" s="23" t="str">
        <x:v>Sabará I</x:v>
      </x:c>
      <x:c r="F70" s="20" t="str">
        <x:v>Londrina</x:v>
      </x:c>
      <x:c r="G70" s="20" t="str">
        <x:v>PR</x:v>
      </x:c>
      <x:c r="H70" s="20" t="str">
        <x:v>(43) 3025-2909</x:v>
      </x:c>
      <x:c r="I70" s="20" t="str">
        <x:v>NÃO IDENTIFICADO</x:v>
      </x:c>
      <x:c r="J70" s="20" t="str"/>
      <x:c r="K70" s="20" t="e">
        <x:f>HYPERLINK("https://www.google.com/maps/search/?api=1&amp;query=Especivans+Oficina+Mec%C3%A2nica+Rodovia+Cidad%C3%A3o+Celso+Garcia%2C+815+-+Bairro%3A+Sabar%C3%A1+I+-+Londrina+-+PR+-+CEP%3A+86066-230","Abrir mapa")</x:f>
        <x:v>HYPERLINK is not implemented. linkLocation=https://www.google.com/maps/search/?api=1&amp;query=Especivans+Oficina+Mec%C3%A2nica+Rodovia+Cidad%C3%A3o+Celso+Garcia%2C+815+-+Bairro%3A+Sabar%C3%A1+I+-+Londrina+-+PR+-+CEP%3A+86066-230, friendlyName=Abrir mapa</x:v>
      </x:c>
      <x:c r="L70" s="26"/>
      <x:c r="M70" s="29"/>
      <x:c r="N70" s="20"/>
      <x:c r="O70" s="20" t="str">
        <x:v>NÃO IDENTIFICADO</x:v>
      </x:c>
      <x:c r="P70" s="20" t="str">
        <x:v>NÃO APLICÁVEL</x:v>
      </x:c>
      <x:c r="Q70" s="32"/>
      <x:c r="R70" s="20" t="str">
        <x:v>NÃO IDENTIFICADA</x:v>
      </x:c>
      <x:c r="S70" s="20"/>
      <x:c r="T70" s="20"/>
      <x:c r="U70" s="20" t="str">
        <x:v>NÃO IDENTIFICADO</x:v>
      </x:c>
      <x:c r="V70" s="20" t="str">
        <x:v>NÃO IDENTIFICADO</x:v>
      </x:c>
      <x:c r="W70" s="20" t="str">
        <x:v>NÃO IDENTIFICADO</x:v>
      </x:c>
      <x:c r="X70" s="23" t="str">
        <x:v>Manutenção e reparação automotiva (categoria pública; confirmar especialidades diretamente).</x:v>
      </x:c>
      <x:c r="Y70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0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0" s="23" t="str">
        <x:v>Apresentar um protótipo curto para oficinas mecânicas, destacar portfólio e orçamento no celular, e pedir confirmação do processo atual antes de afirmar qualquer problema interno.</x:v>
      </x:c>
      <x:c r="AB70" s="23" t="str">
        <x:v>Nome, endereço e telefone publicados no diretório indicado em Fontes.</x:v>
      </x:c>
      <x:c r="AC70" s="35" t="n">
        <x:v>33</x:v>
      </x:c>
      <x:c r="AD70" s="23" t="str">
        <x:v>Prioridade D — Baixa</x:v>
      </x:c>
      <x:c r="AE70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0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0" s="23"/>
      <x:c r="AH70" s="23"/>
      <x:c r="AI70" s="38" t="d">
        <x:v>2026-10-18T15:00:00.000Z</x:v>
      </x:c>
      <x:c r="AJ70" s="20" t="str">
        <x:v>não contatado</x:v>
      </x:c>
      <x:c r="AK70" s="20" t="str"/>
      <x:c r="AL70" s="41"/>
      <x:c r="AM70" s="41"/>
    </x:row>
    <x:row r="71">
      <x:c r="A71" s="20" t="str">
        <x:v>77ade0f13211</x:v>
      </x:c>
      <x:c r="B71" s="20" t="str">
        <x:v>Interauto</x:v>
      </x:c>
      <x:c r="C71" s="20" t="str">
        <x:v>Oficinas mecânicas</x:v>
      </x:c>
      <x:c r="D71" s="23" t="str">
        <x:v>Avenida Arthur Thomas, 330 - Bairro: Rodocentro - Londrina - PR - CEP: 86065-000</x:v>
      </x:c>
      <x:c r="E71" s="23" t="str">
        <x:v>Rodocentro</x:v>
      </x:c>
      <x:c r="F71" s="20" t="str">
        <x:v>Londrina</x:v>
      </x:c>
      <x:c r="G71" s="20" t="str">
        <x:v>PR</x:v>
      </x:c>
      <x:c r="H71" s="20" t="str">
        <x:v>(43) 3028-9133</x:v>
      </x:c>
      <x:c r="I71" s="20" t="str">
        <x:v>NÃO IDENTIFICADO</x:v>
      </x:c>
      <x:c r="J71" s="20" t="str"/>
      <x:c r="K71" s="20" t="e">
        <x:f>HYPERLINK("https://www.google.com/maps/search/?api=1&amp;query=Interauto+Avenida+Arthur+Thomas%2C+330+-+Bairro%3A+Rodocentro+-+Londrina+-+PR+-+CEP%3A+86065-000","Abrir mapa")</x:f>
        <x:v>HYPERLINK is not implemented. linkLocation=https://www.google.com/maps/search/?api=1&amp;query=Interauto+Avenida+Arthur+Thomas%2C+330+-+Bairro%3A+Rodocentro+-+Londrina+-+PR+-+CEP%3A+86065-000, friendlyName=Abrir mapa</x:v>
      </x:c>
      <x:c r="L71" s="26"/>
      <x:c r="M71" s="29"/>
      <x:c r="N71" s="20"/>
      <x:c r="O71" s="20" t="str">
        <x:v>NÃO IDENTIFICADO</x:v>
      </x:c>
      <x:c r="P71" s="20" t="str">
        <x:v>NÃO APLICÁVEL</x:v>
      </x:c>
      <x:c r="Q71" s="32"/>
      <x:c r="R71" s="20" t="str">
        <x:v>NÃO IDENTIFICADA</x:v>
      </x:c>
      <x:c r="S71" s="20"/>
      <x:c r="T71" s="20"/>
      <x:c r="U71" s="20" t="str">
        <x:v>NÃO IDENTIFICADO</x:v>
      </x:c>
      <x:c r="V71" s="20" t="str">
        <x:v>NÃO IDENTIFICADO</x:v>
      </x:c>
      <x:c r="W71" s="20" t="str">
        <x:v>NÃO IDENTIFICADO</x:v>
      </x:c>
      <x:c r="X71" s="23" t="str">
        <x:v>Manutenção e reparação automotiva (categoria pública; confirmar especialidades diretamente).</x:v>
      </x:c>
      <x:c r="Y71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1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1" s="23" t="str">
        <x:v>Apresentar um protótipo curto para oficinas mecânicas, destacar portfólio e orçamento no celular, e pedir confirmação do processo atual antes de afirmar qualquer problema interno.</x:v>
      </x:c>
      <x:c r="AB71" s="23" t="str">
        <x:v>Nome, endereço e telefone publicados no diretório indicado em Fontes.</x:v>
      </x:c>
      <x:c r="AC71" s="35" t="n">
        <x:v>33</x:v>
      </x:c>
      <x:c r="AD71" s="23" t="str">
        <x:v>Prioridade D — Baixa</x:v>
      </x:c>
      <x:c r="AE71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1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1" s="23"/>
      <x:c r="AH71" s="23"/>
      <x:c r="AI71" s="38" t="d">
        <x:v>2026-10-18T15:00:00.000Z</x:v>
      </x:c>
      <x:c r="AJ71" s="20" t="str">
        <x:v>não contatado</x:v>
      </x:c>
      <x:c r="AK71" s="20" t="str"/>
      <x:c r="AL71" s="41"/>
      <x:c r="AM71" s="41"/>
    </x:row>
    <x:row r="72">
      <x:c r="A72" s="20" t="str">
        <x:v>ce99f1f8068f</x:v>
      </x:c>
      <x:c r="B72" s="20" t="str">
        <x:v>Master Car</x:v>
      </x:c>
      <x:c r="C72" s="20" t="str">
        <x:v>Oficinas mecânicas</x:v>
      </x:c>
      <x:c r="D72" s="23" t="str">
        <x:v>Rua Wadya Calixto Dagher, 180 - Bairro: Conjunto Habitacional Marumbi - Londrina - PR - CEP: 86035-135</x:v>
      </x:c>
      <x:c r="E72" s="23" t="str">
        <x:v>Conjunto Habitacional Marumbi</x:v>
      </x:c>
      <x:c r="F72" s="20" t="str">
        <x:v>Londrina</x:v>
      </x:c>
      <x:c r="G72" s="20" t="str">
        <x:v>PR</x:v>
      </x:c>
      <x:c r="H72" s="20" t="str">
        <x:v>(43) 3329-2892</x:v>
      </x:c>
      <x:c r="I72" s="20" t="str">
        <x:v>NÃO IDENTIFICADO</x:v>
      </x:c>
      <x:c r="J72" s="20" t="str"/>
      <x:c r="K72" s="20" t="e">
        <x:f>HYPERLINK("https://www.google.com/maps/search/?api=1&amp;query=Master+Car+Rua+Wadya+Calixto+Dagher%2C+180+-+Bairro%3A+Conjunto+Habitacional+Marumbi+-+Londrina+-+PR+-+CEP%3A+86035-135","Abrir mapa")</x:f>
        <x:v>HYPERLINK is not implemented. linkLocation=https://www.google.com/maps/search/?api=1&amp;query=Master+Car+Rua+Wadya+Calixto+Dagher%2C+180+-+Bairro%3A+Conjunto+Habitacional+Marumbi+-+Londrina+-+PR+-+CEP%3A+86035-135, friendlyName=Abrir mapa</x:v>
      </x:c>
      <x:c r="L72" s="26"/>
      <x:c r="M72" s="29"/>
      <x:c r="N72" s="20"/>
      <x:c r="O72" s="20" t="str">
        <x:v>NÃO IDENTIFICADO</x:v>
      </x:c>
      <x:c r="P72" s="20" t="str">
        <x:v>NÃO APLICÁVEL</x:v>
      </x:c>
      <x:c r="Q72" s="32"/>
      <x:c r="R72" s="20" t="str">
        <x:v>NÃO IDENTIFICADA</x:v>
      </x:c>
      <x:c r="S72" s="20"/>
      <x:c r="T72" s="20"/>
      <x:c r="U72" s="20" t="str">
        <x:v>NÃO IDENTIFICADO</x:v>
      </x:c>
      <x:c r="V72" s="20" t="str">
        <x:v>NÃO IDENTIFICADO</x:v>
      </x:c>
      <x:c r="W72" s="20" t="str">
        <x:v>NÃO IDENTIFICADO</x:v>
      </x:c>
      <x:c r="X72" s="23" t="str">
        <x:v>Manutenção e reparação automotiva (categoria pública; confirmar especialidades diretamente).</x:v>
      </x:c>
      <x:c r="Y72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2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2" s="23" t="str">
        <x:v>Apresentar um protótipo curto para oficinas mecânicas, destacar portfólio e orçamento no celular, e pedir confirmação do processo atual antes de afirmar qualquer problema interno.</x:v>
      </x:c>
      <x:c r="AB72" s="23" t="str">
        <x:v>Nome, endereço e telefone publicados no diretório indicado em Fontes.</x:v>
      </x:c>
      <x:c r="AC72" s="35" t="n">
        <x:v>33</x:v>
      </x:c>
      <x:c r="AD72" s="23" t="str">
        <x:v>Prioridade D — Baixa</x:v>
      </x:c>
      <x:c r="AE72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2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2" s="23"/>
      <x:c r="AH72" s="23"/>
      <x:c r="AI72" s="38" t="d">
        <x:v>2026-10-18T15:00:00.000Z</x:v>
      </x:c>
      <x:c r="AJ72" s="20" t="str">
        <x:v>não contatado</x:v>
      </x:c>
      <x:c r="AK72" s="20" t="str"/>
      <x:c r="AL72" s="41"/>
      <x:c r="AM72" s="41"/>
    </x:row>
    <x:row r="73">
      <x:c r="A73" s="20" t="str">
        <x:v>7bf2e1e4ea8f</x:v>
      </x:c>
      <x:c r="B73" s="20" t="str">
        <x:v>Mecânica Marinho</x:v>
      </x:c>
      <x:c r="C73" s="20" t="str">
        <x:v>Oficinas mecânicas</x:v>
      </x:c>
      <x:c r="D73" s="23" t="str">
        <x:v>Rodovia Celso Garcia Cid, 495 - Bairro: Jardim Sabará - Londrina - CEP: 86066-230</x:v>
      </x:c>
      <x:c r="E73" s="23" t="str">
        <x:v>Jardim Sabará</x:v>
      </x:c>
      <x:c r="F73" s="20" t="str">
        <x:v>Londrina</x:v>
      </x:c>
      <x:c r="G73" s="20" t="str">
        <x:v>PR</x:v>
      </x:c>
      <x:c r="H73" s="20" t="str">
        <x:v>(43) 3357-3257</x:v>
      </x:c>
      <x:c r="I73" s="20" t="str">
        <x:v>NÃO IDENTIFICADO</x:v>
      </x:c>
      <x:c r="J73" s="20" t="str"/>
      <x:c r="K73" s="20" t="e">
        <x:f>HYPERLINK("https://www.google.com/maps/search/?api=1&amp;query=Mec%C3%A2nica+Marinho+Rodovia+Celso+Garcia+Cid%2C+495+-+Bairro%3A+Jardim+Sabar%C3%A1+-+Londrina+-+CEP%3A+86066-230","Abrir mapa")</x:f>
        <x:v>HYPERLINK is not implemented. linkLocation=https://www.google.com/maps/search/?api=1&amp;query=Mec%C3%A2nica+Marinho+Rodovia+Celso+Garcia+Cid%2C+495+-+Bairro%3A+Jardim+Sabar%C3%A1+-+Londrina+-+CEP%3A+86066-230, friendlyName=Abrir mapa</x:v>
      </x:c>
      <x:c r="L73" s="26"/>
      <x:c r="M73" s="29"/>
      <x:c r="N73" s="20"/>
      <x:c r="O73" s="20" t="str">
        <x:v>NÃO IDENTIFICADO</x:v>
      </x:c>
      <x:c r="P73" s="20" t="str">
        <x:v>NÃO APLICÁVEL</x:v>
      </x:c>
      <x:c r="Q73" s="32"/>
      <x:c r="R73" s="20" t="str">
        <x:v>NÃO IDENTIFICADA</x:v>
      </x:c>
      <x:c r="S73" s="20"/>
      <x:c r="T73" s="20"/>
      <x:c r="U73" s="20" t="str">
        <x:v>NÃO IDENTIFICADO</x:v>
      </x:c>
      <x:c r="V73" s="20" t="str">
        <x:v>NÃO IDENTIFICADO</x:v>
      </x:c>
      <x:c r="W73" s="20" t="str">
        <x:v>NÃO IDENTIFICADO</x:v>
      </x:c>
      <x:c r="X73" s="23" t="str">
        <x:v>Manutenção e reparação automotiva (categoria pública; confirmar especialidades diretamente).</x:v>
      </x:c>
      <x:c r="Y73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3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3" s="23" t="str">
        <x:v>Apresentar um protótipo curto para oficinas mecânicas, destacar portfólio e orçamento no celular, e pedir confirmação do processo atual antes de afirmar qualquer problema interno.</x:v>
      </x:c>
      <x:c r="AB73" s="23" t="str">
        <x:v>Nome, endereço e telefone publicados no diretório indicado em Fontes.</x:v>
      </x:c>
      <x:c r="AC73" s="35" t="n">
        <x:v>33</x:v>
      </x:c>
      <x:c r="AD73" s="23" t="str">
        <x:v>Prioridade D — Baixa</x:v>
      </x:c>
      <x:c r="AE73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3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3" s="23"/>
      <x:c r="AH73" s="23"/>
      <x:c r="AI73" s="38" t="d">
        <x:v>2026-10-18T15:00:00.000Z</x:v>
      </x:c>
      <x:c r="AJ73" s="20" t="str">
        <x:v>não contatado</x:v>
      </x:c>
      <x:c r="AK73" s="20" t="str"/>
      <x:c r="AL73" s="41"/>
      <x:c r="AM73" s="41"/>
    </x:row>
    <x:row r="74">
      <x:c r="A74" s="20" t="str">
        <x:v>cb9d83d54cb6</x:v>
      </x:c>
      <x:c r="B74" s="20" t="str">
        <x:v>Milano Oficina Mecânica Diesel</x:v>
      </x:c>
      <x:c r="C74" s="20" t="str">
        <x:v>Oficinas mecânicas</x:v>
      </x:c>
      <x:c r="D74" s="23" t="str">
        <x:v>Rua Nassim Jabur, 73 - Bairro: Paulista - Londrina - PR - CEP: 86079-050</x:v>
      </x:c>
      <x:c r="E74" s="23" t="str">
        <x:v>Paulista</x:v>
      </x:c>
      <x:c r="F74" s="20" t="str">
        <x:v>Londrina</x:v>
      </x:c>
      <x:c r="G74" s="20" t="str">
        <x:v>PR</x:v>
      </x:c>
      <x:c r="H74" s="20" t="str">
        <x:v>(43) 3329-0393</x:v>
      </x:c>
      <x:c r="I74" s="20" t="str">
        <x:v>NÃO IDENTIFICADO</x:v>
      </x:c>
      <x:c r="J74" s="20" t="str"/>
      <x:c r="K74" s="20" t="e">
        <x:f>HYPERLINK("https://www.google.com/maps/search/?api=1&amp;query=Milano+Oficina+Mec%C3%A2nica+Diesel+Rua+Nassim+Jabur%2C+73+-+Bairro%3A+Paulista+-+Londrina+-+PR+-+CEP%3A+86079-050","Abrir mapa")</x:f>
        <x:v>HYPERLINK is not implemented. linkLocation=https://www.google.com/maps/search/?api=1&amp;query=Milano+Oficina+Mec%C3%A2nica+Diesel+Rua+Nassim+Jabur%2C+73+-+Bairro%3A+Paulista+-+Londrina+-+PR+-+CEP%3A+86079-050, friendlyName=Abrir mapa</x:v>
      </x:c>
      <x:c r="L74" s="26"/>
      <x:c r="M74" s="29"/>
      <x:c r="N74" s="20"/>
      <x:c r="O74" s="20" t="str">
        <x:v>NÃO IDENTIFICADO</x:v>
      </x:c>
      <x:c r="P74" s="20" t="str">
        <x:v>NÃO APLICÁVEL</x:v>
      </x:c>
      <x:c r="Q74" s="32"/>
      <x:c r="R74" s="20" t="str">
        <x:v>NÃO IDENTIFICADA</x:v>
      </x:c>
      <x:c r="S74" s="20"/>
      <x:c r="T74" s="20"/>
      <x:c r="U74" s="20" t="str">
        <x:v>NÃO IDENTIFICADO</x:v>
      </x:c>
      <x:c r="V74" s="20" t="str">
        <x:v>NÃO IDENTIFICADO</x:v>
      </x:c>
      <x:c r="W74" s="20" t="str">
        <x:v>NÃO IDENTIFICADO</x:v>
      </x:c>
      <x:c r="X74" s="23" t="str">
        <x:v>Manutenção e reparação automotiva (categoria pública; confirmar especialidades diretamente).</x:v>
      </x:c>
      <x:c r="Y74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4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4" s="23" t="str">
        <x:v>Apresentar um protótipo curto para oficinas mecânicas, destacar portfólio e orçamento no celular, e pedir confirmação do processo atual antes de afirmar qualquer problema interno.</x:v>
      </x:c>
      <x:c r="AB74" s="23" t="str">
        <x:v>Nome, endereço e telefone publicados no diretório indicado em Fontes.</x:v>
      </x:c>
      <x:c r="AC74" s="35" t="n">
        <x:v>33</x:v>
      </x:c>
      <x:c r="AD74" s="23" t="str">
        <x:v>Prioridade D — Baixa</x:v>
      </x:c>
      <x:c r="AE74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4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4" s="23"/>
      <x:c r="AH74" s="23"/>
      <x:c r="AI74" s="38" t="d">
        <x:v>2026-10-18T15:00:00.000Z</x:v>
      </x:c>
      <x:c r="AJ74" s="20" t="str">
        <x:v>não contatado</x:v>
      </x:c>
      <x:c r="AK74" s="20" t="str"/>
      <x:c r="AL74" s="41"/>
      <x:c r="AM74" s="41"/>
    </x:row>
    <x:row r="75">
      <x:c r="A75" s="20" t="str">
        <x:v>0a27253dfad7</x:v>
      </x:c>
      <x:c r="B75" s="20" t="str">
        <x:v>Mitcar</x:v>
      </x:c>
      <x:c r="C75" s="20" t="str">
        <x:v>Oficinas mecânicas</x:v>
      </x:c>
      <x:c r="D75" s="23" t="str">
        <x:v>Rua Montese, 282 - Bairro: Jardim Higienópolis - Londrina - PR - CEP: 86015-020</x:v>
      </x:c>
      <x:c r="E75" s="23" t="str">
        <x:v>Jardim Higienópolis</x:v>
      </x:c>
      <x:c r="F75" s="20" t="str">
        <x:v>Londrina</x:v>
      </x:c>
      <x:c r="G75" s="20" t="str">
        <x:v>PR</x:v>
      </x:c>
      <x:c r="H75" s="20" t="str">
        <x:v>(43) 3025-1554</x:v>
      </x:c>
      <x:c r="I75" s="20" t="str">
        <x:v>NÃO IDENTIFICADO</x:v>
      </x:c>
      <x:c r="J75" s="20" t="str"/>
      <x:c r="K75" s="20" t="e">
        <x:f>HYPERLINK("https://www.google.com/maps/search/?api=1&amp;query=Mitcar+Rua+Montese%2C+282+-+Bairro%3A+Jardim+Higien%C3%B3polis+-+Londrina+-+PR+-+CEP%3A+86015-020","Abrir mapa")</x:f>
        <x:v>HYPERLINK is not implemented. linkLocation=https://www.google.com/maps/search/?api=1&amp;query=Mitcar+Rua+Montese%2C+282+-+Bairro%3A+Jardim+Higien%C3%B3polis+-+Londrina+-+PR+-+CEP%3A+86015-020, friendlyName=Abrir mapa</x:v>
      </x:c>
      <x:c r="L75" s="26"/>
      <x:c r="M75" s="29"/>
      <x:c r="N75" s="20"/>
      <x:c r="O75" s="20" t="str">
        <x:v>NÃO IDENTIFICADO</x:v>
      </x:c>
      <x:c r="P75" s="20" t="str">
        <x:v>NÃO APLICÁVEL</x:v>
      </x:c>
      <x:c r="Q75" s="32"/>
      <x:c r="R75" s="20" t="str">
        <x:v>NÃO IDENTIFICADA</x:v>
      </x:c>
      <x:c r="S75" s="20"/>
      <x:c r="T75" s="20"/>
      <x:c r="U75" s="20" t="str">
        <x:v>NÃO IDENTIFICADO</x:v>
      </x:c>
      <x:c r="V75" s="20" t="str">
        <x:v>NÃO IDENTIFICADO</x:v>
      </x:c>
      <x:c r="W75" s="20" t="str">
        <x:v>NÃO IDENTIFICADO</x:v>
      </x:c>
      <x:c r="X75" s="23" t="str">
        <x:v>Manutenção e reparação automotiva (categoria pública; confirmar especialidades diretamente).</x:v>
      </x:c>
      <x:c r="Y75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5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5" s="23" t="str">
        <x:v>Apresentar um protótipo curto para oficinas mecânicas, destacar portfólio e orçamento no celular, e pedir confirmação do processo atual antes de afirmar qualquer problema interno.</x:v>
      </x:c>
      <x:c r="AB75" s="23" t="str">
        <x:v>Nome, endereço e telefone publicados no diretório indicado em Fontes.</x:v>
      </x:c>
      <x:c r="AC75" s="35" t="n">
        <x:v>33</x:v>
      </x:c>
      <x:c r="AD75" s="23" t="str">
        <x:v>Prioridade D — Baixa</x:v>
      </x:c>
      <x:c r="AE75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5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5" s="23"/>
      <x:c r="AH75" s="23"/>
      <x:c r="AI75" s="38" t="d">
        <x:v>2026-10-18T15:00:00.000Z</x:v>
      </x:c>
      <x:c r="AJ75" s="20" t="str">
        <x:v>não contatado</x:v>
      </x:c>
      <x:c r="AK75" s="20" t="str"/>
      <x:c r="AL75" s="41"/>
      <x:c r="AM75" s="41"/>
    </x:row>
    <x:row r="76">
      <x:c r="A76" s="20" t="str">
        <x:v>ea96859fe31c</x:v>
      </x:c>
      <x:c r="B76" s="20" t="str">
        <x:v>Oficina Mecânica Agrícola Azulinho</x:v>
      </x:c>
      <x:c r="C76" s="20" t="str">
        <x:v>Oficinas mecânicas</x:v>
      </x:c>
      <x:c r="D76" s="23" t="str">
        <x:v>Rua Tietê, 857 - Bairro: Jardim Tabapuã - Londrina - PR - CEP: 86025-230</x:v>
      </x:c>
      <x:c r="E76" s="23" t="str">
        <x:v>Jardim Tabapuã</x:v>
      </x:c>
      <x:c r="F76" s="20" t="str">
        <x:v>Londrina</x:v>
      </x:c>
      <x:c r="G76" s="20" t="str">
        <x:v>PR</x:v>
      </x:c>
      <x:c r="H76" s="20" t="str">
        <x:v>(43) 3325-7083</x:v>
      </x:c>
      <x:c r="I76" s="20" t="str">
        <x:v>NÃO IDENTIFICADO</x:v>
      </x:c>
      <x:c r="J76" s="20" t="str"/>
      <x:c r="K76" s="20" t="e">
        <x:f>HYPERLINK("https://www.google.com/maps/search/?api=1&amp;query=Oficina+Mec%C3%A2nica+Agr%C3%ADcola+Azulinho+Rua+Tiet%C3%AA%2C+857+-+Bairro%3A+Jardim+Tabapu%C3%A3+-+Londrina+-+PR+-+CEP%3A+86025-230","Abrir mapa")</x:f>
        <x:v>HYPERLINK is not implemented. linkLocation=https://www.google.com/maps/search/?api=1&amp;query=Oficina+Mec%C3%A2nica+Agr%C3%ADcola+Azulinho+Rua+Tiet%C3%AA%2C+857+-+Bairro%3A+Jardim+Tabapu%C3%A3+-+Londrina+-+PR+-+CEP%3A+86025-230, friendlyName=Abrir mapa</x:v>
      </x:c>
      <x:c r="L76" s="26"/>
      <x:c r="M76" s="29"/>
      <x:c r="N76" s="20"/>
      <x:c r="O76" s="20" t="str">
        <x:v>NÃO IDENTIFICADO</x:v>
      </x:c>
      <x:c r="P76" s="20" t="str">
        <x:v>NÃO APLICÁVEL</x:v>
      </x:c>
      <x:c r="Q76" s="32"/>
      <x:c r="R76" s="20" t="str">
        <x:v>NÃO IDENTIFICADA</x:v>
      </x:c>
      <x:c r="S76" s="20"/>
      <x:c r="T76" s="20"/>
      <x:c r="U76" s="20" t="str">
        <x:v>NÃO IDENTIFICADO</x:v>
      </x:c>
      <x:c r="V76" s="20" t="str">
        <x:v>NÃO IDENTIFICADO</x:v>
      </x:c>
      <x:c r="W76" s="20" t="str">
        <x:v>NÃO IDENTIFICADO</x:v>
      </x:c>
      <x:c r="X76" s="23" t="str">
        <x:v>Manutenção e reparação automotiva (categoria pública; confirmar especialidades diretamente).</x:v>
      </x:c>
      <x:c r="Y76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6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6" s="23" t="str">
        <x:v>Apresentar um protótipo curto para oficinas mecânicas, destacar portfólio e orçamento no celular, e pedir confirmação do processo atual antes de afirmar qualquer problema interno.</x:v>
      </x:c>
      <x:c r="AB76" s="23" t="str">
        <x:v>Nome, endereço e telefone publicados no diretório indicado em Fontes.</x:v>
      </x:c>
      <x:c r="AC76" s="35" t="n">
        <x:v>33</x:v>
      </x:c>
      <x:c r="AD76" s="23" t="str">
        <x:v>Prioridade D — Baixa</x:v>
      </x:c>
      <x:c r="AE76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6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6" s="23"/>
      <x:c r="AH76" s="23"/>
      <x:c r="AI76" s="38" t="d">
        <x:v>2026-10-18T15:00:00.000Z</x:v>
      </x:c>
      <x:c r="AJ76" s="20" t="str">
        <x:v>não contatado</x:v>
      </x:c>
      <x:c r="AK76" s="20" t="str"/>
      <x:c r="AL76" s="41"/>
      <x:c r="AM76" s="41"/>
    </x:row>
    <x:row r="77">
      <x:c r="A77" s="20" t="str">
        <x:v>2aaab7a134a4</x:v>
      </x:c>
      <x:c r="B77" s="20" t="str">
        <x:v>Oficina Mecânica Alemanha</x:v>
      </x:c>
      <x:c r="C77" s="20" t="str">
        <x:v>Oficinas mecânicas</x:v>
      </x:c>
      <x:c r="D77" s="23" t="str">
        <x:v>Avenida das Maritacas, 2044 - Bairro: Indusville - Londrina - PR - CEP: 86031-070</x:v>
      </x:c>
      <x:c r="E77" s="23" t="str">
        <x:v>Indusville</x:v>
      </x:c>
      <x:c r="F77" s="20" t="str">
        <x:v>Londrina</x:v>
      </x:c>
      <x:c r="G77" s="20" t="str">
        <x:v>PR</x:v>
      </x:c>
      <x:c r="H77" s="20" t="str">
        <x:v>(43) 3334-4395</x:v>
      </x:c>
      <x:c r="I77" s="20" t="str">
        <x:v>NÃO IDENTIFICADO</x:v>
      </x:c>
      <x:c r="J77" s="20" t="str"/>
      <x:c r="K77" s="20" t="e">
        <x:f>HYPERLINK("https://www.google.com/maps/search/?api=1&amp;query=Oficina+Mec%C3%A2nica+Alemanha+Avenida+das+Maritacas%2C+2044+-+Bairro%3A+Indusville+-+Londrina+-+PR+-+CEP%3A+86031-070","Abrir mapa")</x:f>
        <x:v>HYPERLINK is not implemented. linkLocation=https://www.google.com/maps/search/?api=1&amp;query=Oficina+Mec%C3%A2nica+Alemanha+Avenida+das+Maritacas%2C+2044+-+Bairro%3A+Indusville+-+Londrina+-+PR+-+CEP%3A+86031-070, friendlyName=Abrir mapa</x:v>
      </x:c>
      <x:c r="L77" s="26"/>
      <x:c r="M77" s="29"/>
      <x:c r="N77" s="20"/>
      <x:c r="O77" s="20" t="str">
        <x:v>NÃO IDENTIFICADO</x:v>
      </x:c>
      <x:c r="P77" s="20" t="str">
        <x:v>NÃO APLICÁVEL</x:v>
      </x:c>
      <x:c r="Q77" s="32"/>
      <x:c r="R77" s="20" t="str">
        <x:v>NÃO IDENTIFICADA</x:v>
      </x:c>
      <x:c r="S77" s="20"/>
      <x:c r="T77" s="20"/>
      <x:c r="U77" s="20" t="str">
        <x:v>NÃO IDENTIFICADO</x:v>
      </x:c>
      <x:c r="V77" s="20" t="str">
        <x:v>NÃO IDENTIFICADO</x:v>
      </x:c>
      <x:c r="W77" s="20" t="str">
        <x:v>NÃO IDENTIFICADO</x:v>
      </x:c>
      <x:c r="X77" s="23" t="str">
        <x:v>Manutenção e reparação automotiva (categoria pública; confirmar especialidades diretamente).</x:v>
      </x:c>
      <x:c r="Y77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7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7" s="23" t="str">
        <x:v>Apresentar um protótipo curto para oficinas mecânicas, destacar portfólio e orçamento no celular, e pedir confirmação do processo atual antes de afirmar qualquer problema interno.</x:v>
      </x:c>
      <x:c r="AB77" s="23" t="str">
        <x:v>Nome, endereço e telefone publicados no diretório indicado em Fontes.</x:v>
      </x:c>
      <x:c r="AC77" s="35" t="n">
        <x:v>33</x:v>
      </x:c>
      <x:c r="AD77" s="23" t="str">
        <x:v>Prioridade D — Baixa</x:v>
      </x:c>
      <x:c r="AE77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7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7" s="23"/>
      <x:c r="AH77" s="23"/>
      <x:c r="AI77" s="38" t="d">
        <x:v>2026-10-18T15:00:00.000Z</x:v>
      </x:c>
      <x:c r="AJ77" s="20" t="str">
        <x:v>não contatado</x:v>
      </x:c>
      <x:c r="AK77" s="20" t="str"/>
      <x:c r="AL77" s="41"/>
      <x:c r="AM77" s="41"/>
    </x:row>
    <x:row r="78">
      <x:c r="A78" s="20" t="str">
        <x:v>5d751337db2c</x:v>
      </x:c>
      <x:c r="B78" s="20" t="str">
        <x:v>Oficina Mecânica Asa</x:v>
      </x:c>
      <x:c r="C78" s="20" t="str">
        <x:v>Oficinas mecânicas</x:v>
      </x:c>
      <x:c r="D78" s="23" t="str">
        <x:v>Avenida Jorge Casoni, 930 - Bairro: Lago Igapó - Londrina - PR - CEP: 86026-110</x:v>
      </x:c>
      <x:c r="E78" s="23" t="str">
        <x:v>Lago Igapó</x:v>
      </x:c>
      <x:c r="F78" s="20" t="str">
        <x:v>Londrina</x:v>
      </x:c>
      <x:c r="G78" s="20" t="str">
        <x:v>PR</x:v>
      </x:c>
      <x:c r="H78" s="20" t="str">
        <x:v>(43) 3325-2203</x:v>
      </x:c>
      <x:c r="I78" s="20" t="str">
        <x:v>NÃO IDENTIFICADO</x:v>
      </x:c>
      <x:c r="J78" s="20" t="str"/>
      <x:c r="K78" s="20" t="e">
        <x:f>HYPERLINK("https://www.google.com/maps/search/?api=1&amp;query=Oficina+Mec%C3%A2nica+Asa+Avenida+Jorge+Casoni%2C+930+-+Bairro%3A+Lago+Igap%C3%B3+-+Londrina+-+PR+-+CEP%3A+86026-110","Abrir mapa")</x:f>
        <x:v>HYPERLINK is not implemented. linkLocation=https://www.google.com/maps/search/?api=1&amp;query=Oficina+Mec%C3%A2nica+Asa+Avenida+Jorge+Casoni%2C+930+-+Bairro%3A+Lago+Igap%C3%B3+-+Londrina+-+PR+-+CEP%3A+86026-110, friendlyName=Abrir mapa</x:v>
      </x:c>
      <x:c r="L78" s="26"/>
      <x:c r="M78" s="29"/>
      <x:c r="N78" s="20"/>
      <x:c r="O78" s="20" t="str">
        <x:v>NÃO IDENTIFICADO</x:v>
      </x:c>
      <x:c r="P78" s="20" t="str">
        <x:v>NÃO APLICÁVEL</x:v>
      </x:c>
      <x:c r="Q78" s="32"/>
      <x:c r="R78" s="20" t="str">
        <x:v>NÃO IDENTIFICADA</x:v>
      </x:c>
      <x:c r="S78" s="20"/>
      <x:c r="T78" s="20"/>
      <x:c r="U78" s="20" t="str">
        <x:v>NÃO IDENTIFICADO</x:v>
      </x:c>
      <x:c r="V78" s="20" t="str">
        <x:v>NÃO IDENTIFICADO</x:v>
      </x:c>
      <x:c r="W78" s="20" t="str">
        <x:v>NÃO IDENTIFICADO</x:v>
      </x:c>
      <x:c r="X78" s="23" t="str">
        <x:v>Manutenção e reparação automotiva (categoria pública; confirmar especialidades diretamente).</x:v>
      </x:c>
      <x:c r="Y78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8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8" s="23" t="str">
        <x:v>Apresentar um protótipo curto para oficinas mecânicas, destacar portfólio e orçamento no celular, e pedir confirmação do processo atual antes de afirmar qualquer problema interno.</x:v>
      </x:c>
      <x:c r="AB78" s="23" t="str">
        <x:v>Nome, endereço e telefone publicados no diretório indicado em Fontes.</x:v>
      </x:c>
      <x:c r="AC78" s="35" t="n">
        <x:v>33</x:v>
      </x:c>
      <x:c r="AD78" s="23" t="str">
        <x:v>Prioridade D — Baixa</x:v>
      </x:c>
      <x:c r="AE78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8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8" s="23"/>
      <x:c r="AH78" s="23"/>
      <x:c r="AI78" s="38" t="d">
        <x:v>2026-10-18T15:00:00.000Z</x:v>
      </x:c>
      <x:c r="AJ78" s="20" t="str">
        <x:v>não contatado</x:v>
      </x:c>
      <x:c r="AK78" s="20" t="str"/>
      <x:c r="AL78" s="41"/>
      <x:c r="AM78" s="41"/>
    </x:row>
    <x:row r="79">
      <x:c r="A79" s="20" t="str">
        <x:v>3a2dee0813c5</x:v>
      </x:c>
      <x:c r="B79" s="20" t="str">
        <x:v>Oficina Mecânica Birigui Diesel</x:v>
      </x:c>
      <x:c r="C79" s="20" t="str">
        <x:v>Oficinas mecânicas</x:v>
      </x:c>
      <x:c r="D79" s="23" t="str">
        <x:v>Avenida Jules Verne, 1000 - Conjunto Santa Rita 7 - Londrina - PR - CEP: 86072-450</x:v>
      </x:c>
      <x:c r="E79" s="23" t="str">
        <x:v>NÃO IDENTIFICADO</x:v>
      </x:c>
      <x:c r="F79" s="20" t="str">
        <x:v>Londrina</x:v>
      </x:c>
      <x:c r="G79" s="20" t="str">
        <x:v>PR</x:v>
      </x:c>
      <x:c r="H79" s="20" t="str">
        <x:v>(43) 3327-6873</x:v>
      </x:c>
      <x:c r="I79" s="20" t="str">
        <x:v>NÃO IDENTIFICADO</x:v>
      </x:c>
      <x:c r="J79" s="20" t="str"/>
      <x:c r="K79" s="20" t="e">
        <x:f>HYPERLINK("https://www.google.com/maps/search/?api=1&amp;query=Oficina+Mec%C3%A2nica+Birigui+Diesel+Avenida+Jules+Verne%2C+1000+-+Conjunto+Santa+Rita+7+-+Londrina+-+PR+-+CEP%3A+86072-450","Abrir mapa")</x:f>
        <x:v>HYPERLINK is not implemented. linkLocation=https://www.google.com/maps/search/?api=1&amp;query=Oficina+Mec%C3%A2nica+Birigui+Diesel+Avenida+Jules+Verne%2C+1000+-+Conjunto+Santa+Rita+7+-+Londrina+-+PR+-+CEP%3A+86072-450, friendlyName=Abrir mapa</x:v>
      </x:c>
      <x:c r="L79" s="26"/>
      <x:c r="M79" s="29"/>
      <x:c r="N79" s="20"/>
      <x:c r="O79" s="20" t="str">
        <x:v>NÃO IDENTIFICADO</x:v>
      </x:c>
      <x:c r="P79" s="20" t="str">
        <x:v>NÃO APLICÁVEL</x:v>
      </x:c>
      <x:c r="Q79" s="32"/>
      <x:c r="R79" s="20" t="str">
        <x:v>NÃO IDENTIFICADA</x:v>
      </x:c>
      <x:c r="S79" s="20"/>
      <x:c r="T79" s="20"/>
      <x:c r="U79" s="20" t="str">
        <x:v>NÃO IDENTIFICADO</x:v>
      </x:c>
      <x:c r="V79" s="20" t="str">
        <x:v>NÃO IDENTIFICADO</x:v>
      </x:c>
      <x:c r="W79" s="20" t="str">
        <x:v>NÃO IDENTIFICADO</x:v>
      </x:c>
      <x:c r="X79" s="23" t="str">
        <x:v>Manutenção e reparação automotiva (categoria pública; confirmar especialidades diretamente).</x:v>
      </x:c>
      <x:c r="Y79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79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79" s="23" t="str">
        <x:v>Apresentar um protótipo curto para oficinas mecânicas, destacar portfólio e orçamento no celular, e pedir confirmação do processo atual antes de afirmar qualquer problema interno.</x:v>
      </x:c>
      <x:c r="AB79" s="23" t="str">
        <x:v>Nome, endereço e telefone publicados no diretório indicado em Fontes.</x:v>
      </x:c>
      <x:c r="AC79" s="35" t="n">
        <x:v>33</x:v>
      </x:c>
      <x:c r="AD79" s="23" t="str">
        <x:v>Prioridade D — Baixa</x:v>
      </x:c>
      <x:c r="AE79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79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79" s="23"/>
      <x:c r="AH79" s="23"/>
      <x:c r="AI79" s="38" t="d">
        <x:v>2026-10-18T15:00:00.000Z</x:v>
      </x:c>
      <x:c r="AJ79" s="20" t="str">
        <x:v>não contatado</x:v>
      </x:c>
      <x:c r="AK79" s="20" t="str"/>
      <x:c r="AL79" s="41"/>
      <x:c r="AM79" s="41"/>
    </x:row>
    <x:row r="80">
      <x:c r="A80" s="20" t="str">
        <x:v>1f440fcdbbd1</x:v>
      </x:c>
      <x:c r="B80" s="20" t="str">
        <x:v>Oficina Mecânica Célio E Elvis</x:v>
      </x:c>
      <x:c r="C80" s="20" t="str">
        <x:v>Oficinas mecânicas</x:v>
      </x:c>
      <x:c r="D80" s="23" t="str">
        <x:v>Rua Guimarães Rosa, 80 - Bairro: Jardim Santa Maria - Londrina - PR - CEP: 86035-380</x:v>
      </x:c>
      <x:c r="E80" s="23" t="str">
        <x:v>Jardim Santa Maria</x:v>
      </x:c>
      <x:c r="F80" s="20" t="str">
        <x:v>Londrina</x:v>
      </x:c>
      <x:c r="G80" s="20" t="str">
        <x:v>PR</x:v>
      </x:c>
      <x:c r="H80" s="20" t="str">
        <x:v>(43) 3325-7991</x:v>
      </x:c>
      <x:c r="I80" s="20" t="str">
        <x:v>NÃO IDENTIFICADO</x:v>
      </x:c>
      <x:c r="J80" s="20" t="str"/>
      <x:c r="K80" s="20" t="e">
        <x:f>HYPERLINK("https://www.google.com/maps/search/?api=1&amp;query=Oficina+Mec%C3%A2nica+C%C3%A9lio+E+Elvis+Rua+Guimar%C3%A3es+Rosa%2C+80+-+Bairro%3A+Jardim+Santa+Maria+-+Londrina+-+PR+-+CEP%3A+86035-380","Abrir mapa")</x:f>
        <x:v>HYPERLINK is not implemented. linkLocation=https://www.google.com/maps/search/?api=1&amp;query=Oficina+Mec%C3%A2nica+C%C3%A9lio+E+Elvis+Rua+Guimar%C3%A3es+Rosa%2C+80+-+Bairro%3A+Jardim+Santa+Maria+-+Londrina+-+PR+-+CEP%3A+86035-380, friendlyName=Abrir mapa</x:v>
      </x:c>
      <x:c r="L80" s="26"/>
      <x:c r="M80" s="29"/>
      <x:c r="N80" s="20"/>
      <x:c r="O80" s="20" t="str">
        <x:v>NÃO IDENTIFICADO</x:v>
      </x:c>
      <x:c r="P80" s="20" t="str">
        <x:v>NÃO APLICÁVEL</x:v>
      </x:c>
      <x:c r="Q80" s="32"/>
      <x:c r="R80" s="20" t="str">
        <x:v>NÃO IDENTIFICADA</x:v>
      </x:c>
      <x:c r="S80" s="20"/>
      <x:c r="T80" s="20"/>
      <x:c r="U80" s="20" t="str">
        <x:v>NÃO IDENTIFICADO</x:v>
      </x:c>
      <x:c r="V80" s="20" t="str">
        <x:v>NÃO IDENTIFICADO</x:v>
      </x:c>
      <x:c r="W80" s="20" t="str">
        <x:v>NÃO IDENTIFICADO</x:v>
      </x:c>
      <x:c r="X80" s="23" t="str">
        <x:v>Manutenção e reparação automotiva (categoria pública; confirmar especialidades diretamente).</x:v>
      </x:c>
      <x:c r="Y80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80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80" s="23" t="str">
        <x:v>Apresentar um protótipo curto para oficinas mecânicas, destacar portfólio e orçamento no celular, e pedir confirmação do processo atual antes de afirmar qualquer problema interno.</x:v>
      </x:c>
      <x:c r="AB80" s="23" t="str">
        <x:v>Nome, endereço e telefone publicados no diretório indicado em Fontes.</x:v>
      </x:c>
      <x:c r="AC80" s="35" t="n">
        <x:v>33</x:v>
      </x:c>
      <x:c r="AD80" s="23" t="str">
        <x:v>Prioridade D — Baixa</x:v>
      </x:c>
      <x:c r="AE80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80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80" s="23"/>
      <x:c r="AH80" s="23"/>
      <x:c r="AI80" s="38" t="d">
        <x:v>2026-10-18T15:00:00.000Z</x:v>
      </x:c>
      <x:c r="AJ80" s="20" t="str">
        <x:v>não contatado</x:v>
      </x:c>
      <x:c r="AK80" s="20" t="str"/>
      <x:c r="AL80" s="41"/>
      <x:c r="AM80" s="41"/>
    </x:row>
    <x:row r="81">
      <x:c r="A81" s="20" t="str">
        <x:v>b5a61896df80</x:v>
      </x:c>
      <x:c r="B81" s="20" t="str">
        <x:v>Oficina Mecânica De Precisão</x:v>
      </x:c>
      <x:c r="C81" s="20" t="str">
        <x:v>Oficinas mecânicas</x:v>
      </x:c>
      <x:c r="D81" s="23" t="str">
        <x:v>Avenida Henrique Mansano, 480 - Bairro: Jardim Alpes I - Londrina - PR - CEP: 86075-000</x:v>
      </x:c>
      <x:c r="E81" s="23" t="str">
        <x:v>Jardim Alpes I</x:v>
      </x:c>
      <x:c r="F81" s="20" t="str">
        <x:v>Londrina</x:v>
      </x:c>
      <x:c r="G81" s="20" t="str">
        <x:v>PR</x:v>
      </x:c>
      <x:c r="H81" s="20" t="str">
        <x:v>(43) 3338-3875</x:v>
      </x:c>
      <x:c r="I81" s="20" t="str">
        <x:v>NÃO IDENTIFICADO</x:v>
      </x:c>
      <x:c r="J81" s="20" t="str"/>
      <x:c r="K81" s="20" t="e">
        <x:f>HYPERLINK("https://www.google.com/maps/search/?api=1&amp;query=Oficina+Mec%C3%A2nica+De+Precis%C3%A3o+Avenida+Henrique+Mansano%2C+480+-+Bairro%3A+Jardim+Alpes+I+-+Londrina+-+PR+-+CEP%3A+86075-000","Abrir mapa")</x:f>
        <x:v>HYPERLINK is not implemented. linkLocation=https://www.google.com/maps/search/?api=1&amp;query=Oficina+Mec%C3%A2nica+De+Precis%C3%A3o+Avenida+Henrique+Mansano%2C+480+-+Bairro%3A+Jardim+Alpes+I+-+Londrina+-+PR+-+CEP%3A+86075-000, friendlyName=Abrir mapa</x:v>
      </x:c>
      <x:c r="L81" s="26"/>
      <x:c r="M81" s="29"/>
      <x:c r="N81" s="20"/>
      <x:c r="O81" s="20" t="str">
        <x:v>NÃO IDENTIFICADO</x:v>
      </x:c>
      <x:c r="P81" s="20" t="str">
        <x:v>NÃO APLICÁVEL</x:v>
      </x:c>
      <x:c r="Q81" s="32"/>
      <x:c r="R81" s="20" t="str">
        <x:v>NÃO IDENTIFICADA</x:v>
      </x:c>
      <x:c r="S81" s="20"/>
      <x:c r="T81" s="20"/>
      <x:c r="U81" s="20" t="str">
        <x:v>NÃO IDENTIFICADO</x:v>
      </x:c>
      <x:c r="V81" s="20" t="str">
        <x:v>NÃO IDENTIFICADO</x:v>
      </x:c>
      <x:c r="W81" s="20" t="str">
        <x:v>NÃO IDENTIFICADO</x:v>
      </x:c>
      <x:c r="X81" s="23" t="str">
        <x:v>Manutenção e reparação automotiva (categoria pública; confirmar especialidades diretamente).</x:v>
      </x:c>
      <x:c r="Y81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81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81" s="23" t="str">
        <x:v>Apresentar um protótipo curto para oficinas mecânicas, destacar portfólio e orçamento no celular, e pedir confirmação do processo atual antes de afirmar qualquer problema interno.</x:v>
      </x:c>
      <x:c r="AB81" s="23" t="str">
        <x:v>Nome, endereço e telefone publicados no diretório indicado em Fontes.</x:v>
      </x:c>
      <x:c r="AC81" s="35" t="n">
        <x:v>33</x:v>
      </x:c>
      <x:c r="AD81" s="23" t="str">
        <x:v>Prioridade D — Baixa</x:v>
      </x:c>
      <x:c r="AE81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81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81" s="23"/>
      <x:c r="AH81" s="23"/>
      <x:c r="AI81" s="38" t="d">
        <x:v>2026-10-18T15:00:00.000Z</x:v>
      </x:c>
      <x:c r="AJ81" s="20" t="str">
        <x:v>não contatado</x:v>
      </x:c>
      <x:c r="AK81" s="20" t="str"/>
      <x:c r="AL81" s="41"/>
      <x:c r="AM81" s="41"/>
    </x:row>
    <x:row r="82">
      <x:c r="A82" s="20" t="str">
        <x:v>13bb1ed6b0cc</x:v>
      </x:c>
      <x:c r="B82" s="20" t="str">
        <x:v>Oficina Mecânica Do Mineiro</x:v>
      </x:c>
      <x:c r="C82" s="20" t="str">
        <x:v>Oficinas mecânicas</x:v>
      </x:c>
      <x:c r="D82" s="23" t="str">
        <x:v>Rua Recife, 101 - Bairro: Jardim Agari - Londrina - PR - CEP: 86020-210</x:v>
      </x:c>
      <x:c r="E82" s="23" t="str">
        <x:v>Jardim Agari</x:v>
      </x:c>
      <x:c r="F82" s="20" t="str">
        <x:v>Londrina</x:v>
      </x:c>
      <x:c r="G82" s="20" t="str">
        <x:v>PR</x:v>
      </x:c>
      <x:c r="H82" s="20" t="str">
        <x:v>(43) 3324-1470</x:v>
      </x:c>
      <x:c r="I82" s="20" t="str">
        <x:v>NÃO IDENTIFICADO</x:v>
      </x:c>
      <x:c r="J82" s="20" t="str"/>
      <x:c r="K82" s="20" t="e">
        <x:f>HYPERLINK("https://www.google.com/maps/search/?api=1&amp;query=Oficina+Mec%C3%A2nica+Do+Mineiro+Rua+Recife%2C+101+-+Bairro%3A+Jardim+Agari+-+Londrina+-+PR+-+CEP%3A+86020-210","Abrir mapa")</x:f>
        <x:v>HYPERLINK is not implemented. linkLocation=https://www.google.com/maps/search/?api=1&amp;query=Oficina+Mec%C3%A2nica+Do+Mineiro+Rua+Recife%2C+101+-+Bairro%3A+Jardim+Agari+-+Londrina+-+PR+-+CEP%3A+86020-210, friendlyName=Abrir mapa</x:v>
      </x:c>
      <x:c r="L82" s="26"/>
      <x:c r="M82" s="29"/>
      <x:c r="N82" s="20"/>
      <x:c r="O82" s="20" t="str">
        <x:v>NÃO IDENTIFICADO</x:v>
      </x:c>
      <x:c r="P82" s="20" t="str">
        <x:v>NÃO APLICÁVEL</x:v>
      </x:c>
      <x:c r="Q82" s="32"/>
      <x:c r="R82" s="20" t="str">
        <x:v>NÃO IDENTIFICADA</x:v>
      </x:c>
      <x:c r="S82" s="20"/>
      <x:c r="T82" s="20"/>
      <x:c r="U82" s="20" t="str">
        <x:v>NÃO IDENTIFICADO</x:v>
      </x:c>
      <x:c r="V82" s="20" t="str">
        <x:v>NÃO IDENTIFICADO</x:v>
      </x:c>
      <x:c r="W82" s="20" t="str">
        <x:v>NÃO IDENTIFICADO</x:v>
      </x:c>
      <x:c r="X82" s="23" t="str">
        <x:v>Manutenção e reparação automotiva (categoria pública; confirmar especialidades diretamente).</x:v>
      </x:c>
      <x:c r="Y82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82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82" s="23" t="str">
        <x:v>Apresentar um protótipo curto para oficinas mecânicas, destacar portfólio e orçamento no celular, e pedir confirmação do processo atual antes de afirmar qualquer problema interno.</x:v>
      </x:c>
      <x:c r="AB82" s="23" t="str">
        <x:v>Nome, endereço e telefone publicados no diretório indicado em Fontes.</x:v>
      </x:c>
      <x:c r="AC82" s="35" t="n">
        <x:v>33</x:v>
      </x:c>
      <x:c r="AD82" s="23" t="str">
        <x:v>Prioridade D — Baixa</x:v>
      </x:c>
      <x:c r="AE82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82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82" s="23"/>
      <x:c r="AH82" s="23"/>
      <x:c r="AI82" s="38" t="d">
        <x:v>2026-10-18T15:00:00.000Z</x:v>
      </x:c>
      <x:c r="AJ82" s="20" t="str">
        <x:v>não contatado</x:v>
      </x:c>
      <x:c r="AK82" s="20" t="str"/>
      <x:c r="AL82" s="41"/>
      <x:c r="AM82" s="41"/>
    </x:row>
    <x:row r="83">
      <x:c r="A83" s="20" t="str">
        <x:v>e2c8dbc9b6f5</x:v>
      </x:c>
      <x:c r="B83" s="20" t="str">
        <x:v>Oficina Mecânica El Shadai</x:v>
      </x:c>
      <x:c r="C83" s="20" t="str">
        <x:v>Oficinas mecânicas</x:v>
      </x:c>
      <x:c r="D83" s="23" t="str">
        <x:v>Rua Ângelo Pesarini, 220 - Bairro: Três Marcos - Londrina - PR - CEP: 86046-710</x:v>
      </x:c>
      <x:c r="E83" s="23" t="str">
        <x:v>Três Marcos</x:v>
      </x:c>
      <x:c r="F83" s="20" t="str">
        <x:v>Londrina</x:v>
      </x:c>
      <x:c r="G83" s="20" t="str">
        <x:v>PR</x:v>
      </x:c>
      <x:c r="H83" s="20" t="str">
        <x:v>(43) 3341-2170</x:v>
      </x:c>
      <x:c r="I83" s="20" t="str">
        <x:v>NÃO IDENTIFICADO</x:v>
      </x:c>
      <x:c r="J83" s="20" t="str"/>
      <x:c r="K83" s="20" t="e">
        <x:f>HYPERLINK("https://www.google.com/maps/search/?api=1&amp;query=Oficina+Mec%C3%A2nica+El+Shadai+Rua+%C3%82ngelo+Pesarini%2C+220+-+Bairro%3A+Tr%C3%AAs+Marcos+-+Londrina+-+PR+-+CEP%3A+86046-710","Abrir mapa")</x:f>
        <x:v>HYPERLINK is not implemented. linkLocation=https://www.google.com/maps/search/?api=1&amp;query=Oficina+Mec%C3%A2nica+El+Shadai+Rua+%C3%82ngelo+Pesarini%2C+220+-+Bairro%3A+Tr%C3%AAs+Marcos+-+Londrina+-+PR+-+CEP%3A+86046-710, friendlyName=Abrir mapa</x:v>
      </x:c>
      <x:c r="L83" s="26"/>
      <x:c r="M83" s="29"/>
      <x:c r="N83" s="20"/>
      <x:c r="O83" s="20" t="str">
        <x:v>NÃO IDENTIFICADO</x:v>
      </x:c>
      <x:c r="P83" s="20" t="str">
        <x:v>NÃO APLICÁVEL</x:v>
      </x:c>
      <x:c r="Q83" s="32"/>
      <x:c r="R83" s="20" t="str">
        <x:v>NÃO IDENTIFICADA</x:v>
      </x:c>
      <x:c r="S83" s="20"/>
      <x:c r="T83" s="20"/>
      <x:c r="U83" s="20" t="str">
        <x:v>NÃO IDENTIFICADO</x:v>
      </x:c>
      <x:c r="V83" s="20" t="str">
        <x:v>NÃO IDENTIFICADO</x:v>
      </x:c>
      <x:c r="W83" s="20" t="str">
        <x:v>NÃO IDENTIFICADO</x:v>
      </x:c>
      <x:c r="X83" s="23" t="str">
        <x:v>Manutenção e reparação automotiva (categoria pública; confirmar especialidades diretamente).</x:v>
      </x:c>
      <x:c r="Y83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83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83" s="23" t="str">
        <x:v>Apresentar um protótipo curto para oficinas mecânicas, destacar portfólio e orçamento no celular, e pedir confirmação do processo atual antes de afirmar qualquer problema interno.</x:v>
      </x:c>
      <x:c r="AB83" s="23" t="str">
        <x:v>Nome, endereço e telefone publicados no diretório indicado em Fontes.</x:v>
      </x:c>
      <x:c r="AC83" s="35" t="n">
        <x:v>33</x:v>
      </x:c>
      <x:c r="AD83" s="23" t="str">
        <x:v>Prioridade D — Baixa</x:v>
      </x:c>
      <x:c r="AE83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83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83" s="23"/>
      <x:c r="AH83" s="23"/>
      <x:c r="AI83" s="38" t="d">
        <x:v>2026-10-18T15:00:00.000Z</x:v>
      </x:c>
      <x:c r="AJ83" s="20" t="str">
        <x:v>não contatado</x:v>
      </x:c>
      <x:c r="AK83" s="20" t="str"/>
      <x:c r="AL83" s="41"/>
      <x:c r="AM83" s="41"/>
    </x:row>
    <x:row r="84">
      <x:c r="A84" s="20" t="str">
        <x:v>3ec1557b26d5</x:v>
      </x:c>
      <x:c r="B84" s="20" t="str">
        <x:v>Oficina Mecânica Galdino</x:v>
      </x:c>
      <x:c r="C84" s="20" t="str">
        <x:v>Oficinas mecânicas</x:v>
      </x:c>
      <x:c r="D84" s="23" t="str">
        <x:v>Rua Cornélio Procópio, 42 - Bairro: Aurora - Londrina - PR - CEP: 86060-420</x:v>
      </x:c>
      <x:c r="E84" s="23" t="str">
        <x:v>Aurora</x:v>
      </x:c>
      <x:c r="F84" s="20" t="str">
        <x:v>Londrina</x:v>
      </x:c>
      <x:c r="G84" s="20" t="str">
        <x:v>PR</x:v>
      </x:c>
      <x:c r="H84" s="20" t="str">
        <x:v>(43) 3327-3447</x:v>
      </x:c>
      <x:c r="I84" s="20" t="str">
        <x:v>NÃO IDENTIFICADO</x:v>
      </x:c>
      <x:c r="J84" s="20" t="str"/>
      <x:c r="K84" s="20" t="e">
        <x:f>HYPERLINK("https://www.google.com/maps/search/?api=1&amp;query=Oficina+Mec%C3%A2nica+Galdino+Rua+Corn%C3%A9lio+Proc%C3%B3pio%2C+42+-+Bairro%3A+Aurora+-+Londrina+-+PR+-+CEP%3A+86060-420","Abrir mapa")</x:f>
        <x:v>HYPERLINK is not implemented. linkLocation=https://www.google.com/maps/search/?api=1&amp;query=Oficina+Mec%C3%A2nica+Galdino+Rua+Corn%C3%A9lio+Proc%C3%B3pio%2C+42+-+Bairro%3A+Aurora+-+Londrina+-+PR+-+CEP%3A+86060-420, friendlyName=Abrir mapa</x:v>
      </x:c>
      <x:c r="L84" s="26"/>
      <x:c r="M84" s="29"/>
      <x:c r="N84" s="20"/>
      <x:c r="O84" s="20" t="str">
        <x:v>NÃO IDENTIFICADO</x:v>
      </x:c>
      <x:c r="P84" s="20" t="str">
        <x:v>NÃO APLICÁVEL</x:v>
      </x:c>
      <x:c r="Q84" s="32"/>
      <x:c r="R84" s="20" t="str">
        <x:v>NÃO IDENTIFICADA</x:v>
      </x:c>
      <x:c r="S84" s="20"/>
      <x:c r="T84" s="20"/>
      <x:c r="U84" s="20" t="str">
        <x:v>NÃO IDENTIFICADO</x:v>
      </x:c>
      <x:c r="V84" s="20" t="str">
        <x:v>NÃO IDENTIFICADO</x:v>
      </x:c>
      <x:c r="W84" s="20" t="str">
        <x:v>NÃO IDENTIFICADO</x:v>
      </x:c>
      <x:c r="X84" s="23" t="str">
        <x:v>Manutenção e reparação automotiva (categoria pública; confirmar especialidades diretamente).</x:v>
      </x:c>
      <x:c r="Y84" s="23" t="str">
        <x:v>Domínio próprio não identificado; confirmar antes da abordagem. Catálogo digital não identificado; ausência não confirmada. A captação pública encontrada privilegia telefone/diretório; há potencial de simplificar pedidos de orçamento. Agendamento online não identificado; ausência não confirmada.</x:v>
      </x:c>
      <x:c r="Z84" s="23" t="str">
        <x:v>Se confirmado, landing page/site institucional com portfólio. Catálogo visual com pedido de orçamento. Formulário qualificado e integração com WhatsApp/CRM. Agenda digital com lembretes e pré-triagem do veículo.</x:v>
      </x:c>
      <x:c r="AA84" s="23" t="str">
        <x:v>Apresentar um protótipo curto para oficinas mecânicas, destacar portfólio e orçamento no celular, e pedir confirmação do processo atual antes de afirmar qualquer problema interno.</x:v>
      </x:c>
      <x:c r="AB84" s="23" t="str">
        <x:v>Nome, endereço e telefone publicados no diretório indicado em Fontes.</x:v>
      </x:c>
      <x:c r="AC84" s="35" t="n">
        <x:v>33</x:v>
      </x:c>
      <x:c r="AD84" s="23" t="str">
        <x:v>Prioridade D — Baixa</x:v>
      </x:c>
      <x:c r="AE84" s="23" t="str">
        <x:v>0 ausência de site não confirmada; 0 ausência de catálogo não confirmada; 8 captação pública concentrada em contato direto; 0 ausência de agendamento não confirmada; 5 listagem pública com contato e endereço; 10 protótipo reaproveitável no nicho; 10 telefone e endereço públicos verificados na fonte</x:v>
      </x:c>
      <x:c r="AF84" s="23" t="e">
        <x:f>HYPERLINK("https://www.encontralondrina.com.br/o/oficina-mecanica-em-londrina.shtml","Fonte 1")</x:f>
        <x:v>HYPERLINK is not implemented. linkLocation=https://www.encontralondrina.com.br/o/oficina-mecanica-em-londrina.shtml, friendlyName=Fonte 1</x:v>
      </x:c>
      <x:c r="AG84" s="23"/>
      <x:c r="AH84" s="23"/>
      <x:c r="AI84" s="38" t="d">
        <x:v>2026-10-18T15:00:00.000Z</x:v>
      </x:c>
      <x:c r="AJ84" s="20" t="str">
        <x:v>não contatado</x:v>
      </x:c>
      <x:c r="AK84" s="20" t="str"/>
      <x:c r="AL84" s="41"/>
      <x:c r="AM84" s="41"/>
    </x:row>
    <x:row r="85">
      <x:c r="A85" s="20" t="str">
        <x:v>506035095914</x:v>
      </x:c>
      <x:c r="B85" s="20" t="str">
        <x:v>Aldebaran Serralheria</x:v>
      </x:c>
      <x:c r="C85" s="20" t="str">
        <x:v>Serralherias</x:v>
      </x:c>
      <x:c r="D85" s="23" t="str">
        <x:v>Rua Joarez Oliveira César, 89 - Bairro: Jardim Lago Norte - Londrina - PR - CEP: 86078-445</x:v>
      </x:c>
      <x:c r="E85" s="23" t="str">
        <x:v>Jardim Lago Norte</x:v>
      </x:c>
      <x:c r="F85" s="20" t="str">
        <x:v>Londrina</x:v>
      </x:c>
      <x:c r="G85" s="20" t="str">
        <x:v>PR</x:v>
      </x:c>
      <x:c r="H85" s="20" t="str">
        <x:v>(43) 3321-1452</x:v>
      </x:c>
      <x:c r="I85" s="20" t="str">
        <x:v>NÃO IDENTIFICADO</x:v>
      </x:c>
      <x:c r="J85" s="20" t="str"/>
      <x:c r="K85" s="20" t="e">
        <x:f>HYPERLINK("https://www.google.com/maps/search/?api=1&amp;query=Aldebaran+Serralheria+Rua+Joarez+Oliveira+C%C3%A9sar%2C+89+-+Bairro%3A+Jardim+Lago+Norte+-+Londrina+-+PR+-+CEP%3A+86078-445","Abrir mapa")</x:f>
        <x:v>HYPERLINK is not implemented. linkLocation=https://www.google.com/maps/search/?api=1&amp;query=Aldebaran+Serralheria+Rua+Joarez+Oliveira+C%C3%A9sar%2C+89+-+Bairro%3A+Jardim+Lago+Norte+-+Londrina+-+PR+-+CEP%3A+86078-445, friendlyName=Abrir mapa</x:v>
      </x:c>
      <x:c r="L85" s="26"/>
      <x:c r="M85" s="29"/>
      <x:c r="N85" s="20"/>
      <x:c r="O85" s="20" t="str">
        <x:v>NÃO IDENTIFICADO</x:v>
      </x:c>
      <x:c r="P85" s="20" t="str">
        <x:v>NÃO APLICÁVEL</x:v>
      </x:c>
      <x:c r="Q85" s="32"/>
      <x:c r="R85" s="20" t="str">
        <x:v>NÃO IDENTIFICADA</x:v>
      </x:c>
      <x:c r="S85" s="20"/>
      <x:c r="T85" s="20"/>
      <x:c r="U85" s="20" t="str">
        <x:v>NÃO IDENTIFICADO</x:v>
      </x:c>
      <x:c r="V85" s="20" t="str">
        <x:v>NÃO IDENTIFICADO</x:v>
      </x:c>
      <x:c r="W85" s="20" t="str">
        <x:v>NÃO IDENTIFICADO</x:v>
      </x:c>
      <x:c r="X85" s="23" t="str">
        <x:v>Serralheria e estruturas metálicas (categoria pública; confirmar escopo diretamente).</x:v>
      </x:c>
      <x:c r="Y85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85" s="23" t="str">
        <x:v>Se confirmado, landing page/site institucional com portfólio. Catálogo visual com pedido de orçamento. Formulário qualificado e integração com WhatsApp/CRM.</x:v>
      </x:c>
      <x:c r="AA85" s="23" t="str">
        <x:v>Apresentar um protótipo curto para serralherias, destacar portfólio e orçamento no celular, e pedir confirmação do processo atual antes de afirmar qualquer problema interno.</x:v>
      </x:c>
      <x:c r="AB85" s="23" t="str">
        <x:v>Nome, endereço e telefone publicados no diretório indicado em Fontes.</x:v>
      </x:c>
      <x:c r="AC85" s="35" t="n">
        <x:v>33</x:v>
      </x:c>
      <x:c r="AD85" s="23" t="str">
        <x:v>Prioridade D — Baixa</x:v>
      </x:c>
      <x:c r="AE85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85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85" s="23"/>
      <x:c r="AH85" s="23"/>
      <x:c r="AI85" s="38" t="d">
        <x:v>2026-10-18T15:00:00.000Z</x:v>
      </x:c>
      <x:c r="AJ85" s="20" t="str">
        <x:v>não contatado</x:v>
      </x:c>
      <x:c r="AK85" s="20" t="str"/>
      <x:c r="AL85" s="41"/>
      <x:c r="AM85" s="41"/>
    </x:row>
    <x:row r="86">
      <x:c r="A86" s="20" t="str">
        <x:v>80542be0096b</x:v>
      </x:c>
      <x:c r="B86" s="20" t="str">
        <x:v>Alfa Serralheria</x:v>
      </x:c>
      <x:c r="C86" s="20" t="str">
        <x:v>Serralherias</x:v>
      </x:c>
      <x:c r="D86" s="23" t="str">
        <x:v>Avenida Jamil Scaff, 1790 - Bairro: Conjunto Habitacional Alexandre Urbanas - Londrina - PR - CEP: 86037-000</x:v>
      </x:c>
      <x:c r="E86" s="23" t="str">
        <x:v>Conjunto Habitacional Alexandre Urbanas</x:v>
      </x:c>
      <x:c r="F86" s="20" t="str">
        <x:v>Londrina</x:v>
      </x:c>
      <x:c r="G86" s="20" t="str">
        <x:v>PR</x:v>
      </x:c>
      <x:c r="H86" s="20" t="str">
        <x:v>(43) 3339-9719</x:v>
      </x:c>
      <x:c r="I86" s="20" t="str">
        <x:v>NÃO IDENTIFICADO</x:v>
      </x:c>
      <x:c r="J86" s="20" t="str"/>
      <x:c r="K86" s="20" t="e">
        <x:f>HYPERLINK("https://www.google.com/maps/search/?api=1&amp;query=Alfa+Serralheria+Avenida+Jamil+Scaff%2C+1790+-+Bairro%3A+Conjunto+Habitacional+Alexandre+Urbanas+-+Londrina+-+PR+-+CEP%3A+86037-000","Abrir mapa")</x:f>
        <x:v>HYPERLINK is not implemented. linkLocation=https://www.google.com/maps/search/?api=1&amp;query=Alfa+Serralheria+Avenida+Jamil+Scaff%2C+1790+-+Bairro%3A+Conjunto+Habitacional+Alexandre+Urbanas+-+Londrina+-+PR+-+CEP%3A+86037-000, friendlyName=Abrir mapa</x:v>
      </x:c>
      <x:c r="L86" s="26"/>
      <x:c r="M86" s="29"/>
      <x:c r="N86" s="20"/>
      <x:c r="O86" s="20" t="str">
        <x:v>NÃO IDENTIFICADO</x:v>
      </x:c>
      <x:c r="P86" s="20" t="str">
        <x:v>NÃO APLICÁVEL</x:v>
      </x:c>
      <x:c r="Q86" s="32"/>
      <x:c r="R86" s="20" t="str">
        <x:v>NÃO IDENTIFICADA</x:v>
      </x:c>
      <x:c r="S86" s="20"/>
      <x:c r="T86" s="20"/>
      <x:c r="U86" s="20" t="str">
        <x:v>NÃO IDENTIFICADO</x:v>
      </x:c>
      <x:c r="V86" s="20" t="str">
        <x:v>NÃO IDENTIFICADO</x:v>
      </x:c>
      <x:c r="W86" s="20" t="str">
        <x:v>NÃO IDENTIFICADO</x:v>
      </x:c>
      <x:c r="X86" s="23" t="str">
        <x:v>Serralheria e estruturas metálicas (categoria pública; confirmar escopo diretamente).</x:v>
      </x:c>
      <x:c r="Y86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86" s="23" t="str">
        <x:v>Se confirmado, landing page/site institucional com portfólio. Catálogo visual com pedido de orçamento. Formulário qualificado e integração com WhatsApp/CRM.</x:v>
      </x:c>
      <x:c r="AA86" s="23" t="str">
        <x:v>Apresentar um protótipo curto para serralherias, destacar portfólio e orçamento no celular, e pedir confirmação do processo atual antes de afirmar qualquer problema interno.</x:v>
      </x:c>
      <x:c r="AB86" s="23" t="str">
        <x:v>Nome, endereço e telefone publicados no diretório indicado em Fontes.</x:v>
      </x:c>
      <x:c r="AC86" s="35" t="n">
        <x:v>33</x:v>
      </x:c>
      <x:c r="AD86" s="23" t="str">
        <x:v>Prioridade D — Baixa</x:v>
      </x:c>
      <x:c r="AE86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86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86" s="23"/>
      <x:c r="AH86" s="23"/>
      <x:c r="AI86" s="38" t="d">
        <x:v>2026-10-18T15:00:00.000Z</x:v>
      </x:c>
      <x:c r="AJ86" s="20" t="str">
        <x:v>não contatado</x:v>
      </x:c>
      <x:c r="AK86" s="20" t="str"/>
      <x:c r="AL86" s="41"/>
      <x:c r="AM86" s="41"/>
    </x:row>
    <x:row r="87">
      <x:c r="A87" s="20" t="str">
        <x:v>7626f2c786e7</x:v>
      </x:c>
      <x:c r="B87" s="20" t="str">
        <x:v>Ferro Forte Serralheria</x:v>
      </x:c>
      <x:c r="C87" s="20" t="str">
        <x:v>Serralherias</x:v>
      </x:c>
      <x:c r="D87" s="23" t="str">
        <x:v>Rua Ana Murge, 303 - Bairro: Conjunto Habitacional Maria C S Oliveira - Londrina - PR - CEP: 86085-020</x:v>
      </x:c>
      <x:c r="E87" s="23" t="str">
        <x:v>Conjunto Habitacional Maria C S Oliveira</x:v>
      </x:c>
      <x:c r="F87" s="20" t="str">
        <x:v>Londrina</x:v>
      </x:c>
      <x:c r="G87" s="20" t="str">
        <x:v>PR</x:v>
      </x:c>
      <x:c r="H87" s="20" t="str">
        <x:v>(43) 3326-8351</x:v>
      </x:c>
      <x:c r="I87" s="20" t="str">
        <x:v>NÃO IDENTIFICADO</x:v>
      </x:c>
      <x:c r="J87" s="20" t="str"/>
      <x:c r="K87" s="20" t="e">
        <x:f>HYPERLINK("https://www.google.com/maps/search/?api=1&amp;query=Ferro+Forte+Serralheria+Rua+Ana+Murge%2C+303+-+Bairro%3A+Conjunto+Habitacional+Maria+C+S+Oliveira+-+Londrina+-+PR+-+CEP%3A+86085-020","Abrir mapa")</x:f>
        <x:v>HYPERLINK is not implemented. linkLocation=https://www.google.com/maps/search/?api=1&amp;query=Ferro+Forte+Serralheria+Rua+Ana+Murge%2C+303+-+Bairro%3A+Conjunto+Habitacional+Maria+C+S+Oliveira+-+Londrina+-+PR+-+CEP%3A+86085-020, friendlyName=Abrir mapa</x:v>
      </x:c>
      <x:c r="L87" s="26"/>
      <x:c r="M87" s="29"/>
      <x:c r="N87" s="20"/>
      <x:c r="O87" s="20" t="str">
        <x:v>NÃO IDENTIFICADO</x:v>
      </x:c>
      <x:c r="P87" s="20" t="str">
        <x:v>NÃO APLICÁVEL</x:v>
      </x:c>
      <x:c r="Q87" s="32"/>
      <x:c r="R87" s="20" t="str">
        <x:v>NÃO IDENTIFICADA</x:v>
      </x:c>
      <x:c r="S87" s="20"/>
      <x:c r="T87" s="20"/>
      <x:c r="U87" s="20" t="str">
        <x:v>NÃO IDENTIFICADO</x:v>
      </x:c>
      <x:c r="V87" s="20" t="str">
        <x:v>NÃO IDENTIFICADO</x:v>
      </x:c>
      <x:c r="W87" s="20" t="str">
        <x:v>NÃO IDENTIFICADO</x:v>
      </x:c>
      <x:c r="X87" s="23" t="str">
        <x:v>Serralheria e estruturas metálicas (categoria pública; confirmar escopo diretamente).</x:v>
      </x:c>
      <x:c r="Y87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87" s="23" t="str">
        <x:v>Se confirmado, landing page/site institucional com portfólio. Catálogo visual com pedido de orçamento. Formulário qualificado e integração com WhatsApp/CRM.</x:v>
      </x:c>
      <x:c r="AA87" s="23" t="str">
        <x:v>Apresentar um protótipo curto para serralherias, destacar portfólio e orçamento no celular, e pedir confirmação do processo atual antes de afirmar qualquer problema interno.</x:v>
      </x:c>
      <x:c r="AB87" s="23" t="str">
        <x:v>Nome, endereço e telefone publicados no diretório indicado em Fontes.</x:v>
      </x:c>
      <x:c r="AC87" s="35" t="n">
        <x:v>33</x:v>
      </x:c>
      <x:c r="AD87" s="23" t="str">
        <x:v>Prioridade D — Baixa</x:v>
      </x:c>
      <x:c r="AE87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87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87" s="23"/>
      <x:c r="AH87" s="23"/>
      <x:c r="AI87" s="38" t="d">
        <x:v>2026-10-18T15:00:00.000Z</x:v>
      </x:c>
      <x:c r="AJ87" s="20" t="str">
        <x:v>não contatado</x:v>
      </x:c>
      <x:c r="AK87" s="20" t="str"/>
      <x:c r="AL87" s="41"/>
      <x:c r="AM87" s="41"/>
    </x:row>
    <x:row r="88">
      <x:c r="A88" s="20" t="str">
        <x:v>3f3dc40ba7b9</x:v>
      </x:c>
      <x:c r="B88" s="20" t="str">
        <x:v>Londriserra</x:v>
      </x:c>
      <x:c r="C88" s="20" t="str">
        <x:v>Serralherias</x:v>
      </x:c>
      <x:c r="D88" s="23" t="str">
        <x:v>Avenida Higienópolis, s/n - Bairro: Centro - Londrina - PR - CEP: 86020-908</x:v>
      </x:c>
      <x:c r="E88" s="23" t="str">
        <x:v>Centro</x:v>
      </x:c>
      <x:c r="F88" s="20" t="str">
        <x:v>Londrina</x:v>
      </x:c>
      <x:c r="G88" s="20" t="str">
        <x:v>PR</x:v>
      </x:c>
      <x:c r="H88" s="20" t="str">
        <x:v>(43) 3367-6261</x:v>
      </x:c>
      <x:c r="I88" s="20" t="str">
        <x:v>SIM</x:v>
      </x:c>
      <x:c r="J88" s="20" t="str">
        <x:v>(43) 3367-6261</x:v>
      </x:c>
      <x:c r="K88" s="20" t="e">
        <x:f>HYPERLINK("https://www.google.com/maps/search/?api=1&amp;query=Londriserra+Avenida+Higien%C3%B3polis%2C+s%2Fn+-+Bairro%3A+Centro+-+Londrina+-+PR+-+CEP%3A+86020-908","Abrir mapa")</x:f>
        <x:v>HYPERLINK is not implemented. linkLocation=https://www.google.com/maps/search/?api=1&amp;query=Londriserra+Avenida+Higien%C3%B3polis%2C+s%2Fn+-+Bairro%3A+Centro+-+Londrina+-+PR+-+CEP%3A+86020-908, friendlyName=Abrir mapa</x:v>
      </x:c>
      <x:c r="L88" s="26"/>
      <x:c r="M88" s="29"/>
      <x:c r="N88" s="20" t="e">
        <x:f>HYPERLINK("https://londriserra.com.br/","Abrir site")</x:f>
        <x:v>HYPERLINK is not implemented. linkLocation=https://londriserra.com.br/, friendlyName=Abrir site</x:v>
      </x:c>
      <x:c r="O88" s="20" t="str">
        <x:v>SIM</x:v>
      </x:c>
      <x:c r="P88" s="20" t="str">
        <x:v>INDISPONÍVEL NA VERIFICAÇÃO</x:v>
      </x:c>
      <x:c r="Q88" s="32"/>
      <x:c r="R88" s="20" t="str">
        <x:v>INCOMPLETA</x:v>
      </x:c>
      <x:c r="S88" s="20"/>
      <x:c r="T88" s="20" t="e">
        <x:f>HYPERLINK("https://facebook.com/londriserra","Facebook")</x:f>
        <x:v>HYPERLINK is not implemented. linkLocation=https://facebook.com/londriserra, friendlyName=Facebook</x:v>
      </x:c>
      <x:c r="U88" s="20" t="str">
        <x:v>NÃO IDENTIFICADO</x:v>
      </x:c>
      <x:c r="V88" s="20" t="str">
        <x:v>NÃO IDENTIFICADO</x:v>
      </x:c>
      <x:c r="W88" s="20" t="str">
        <x:v>NÃO IDENTIFICADO</x:v>
      </x:c>
      <x:c r="X88" s="23" t="str">
        <x:v>Serralheria e estruturas metálicas (categoria pública; confirmar escopo diretamente).</x:v>
      </x:c>
      <x:c r="Y88" s="23" t="str">
        <x:v>Catálogo digital não identificado; ausência não confirmada. A captação pública encontrada privilegia telefone/diretório; há potencial de simplificar pedidos de orçamento.</x:v>
      </x:c>
      <x:c r="Z88" s="23" t="str">
        <x:v>Catálogo visual com pedido de orçamento. Formulário qualificado e integração com WhatsApp/CRM.</x:v>
      </x:c>
      <x:c r="AA88" s="23" t="str">
        <x:v>Apresentar um protótipo curto para serralherias, destacar portfólio e orçamento no celular, e pedir confirmação do processo atual antes de afirmar qualquer problema interno.</x:v>
      </x:c>
      <x:c r="AB88" s="23" t="str">
        <x:v>Nome, endereço e telefone publicados no diretório indicado em Fontes.</x:v>
      </x:c>
      <x:c r="AC88" s="35" t="n">
        <x:v>33</x:v>
      </x:c>
      <x:c r="AD88" s="23" t="str">
        <x:v>Prioridade D — Baixa</x:v>
      </x:c>
      <x:c r="AE88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88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88" s="23"/>
      <x:c r="AH88" s="23"/>
      <x:c r="AI88" s="38" t="d">
        <x:v>2026-10-18T15:00:00.000Z</x:v>
      </x:c>
      <x:c r="AJ88" s="20" t="str">
        <x:v>não contatado</x:v>
      </x:c>
      <x:c r="AK88" s="20" t="str"/>
      <x:c r="AL88" s="41"/>
      <x:c r="AM88" s="41"/>
    </x:row>
    <x:row r="89">
      <x:c r="A89" s="20" t="str">
        <x:v>8c9f4eb5b54a</x:v>
      </x:c>
      <x:c r="B89" s="20" t="str">
        <x:v>M Guandeline Serralheria</x:v>
      </x:c>
      <x:c r="C89" s="20" t="str">
        <x:v>Serralherias</x:v>
      </x:c>
      <x:c r="D89" s="23" t="str">
        <x:v>Rua Carmela Dutra, 190 - Bairro: Jardim Morumbi - Londrina - PR - CEP: 86036-360</x:v>
      </x:c>
      <x:c r="E89" s="23" t="str">
        <x:v>Jardim Morumbi</x:v>
      </x:c>
      <x:c r="F89" s="20" t="str">
        <x:v>Londrina</x:v>
      </x:c>
      <x:c r="G89" s="20" t="str">
        <x:v>PR</x:v>
      </x:c>
      <x:c r="H89" s="20" t="str">
        <x:v>(43) 3337-2883</x:v>
      </x:c>
      <x:c r="I89" s="20" t="str">
        <x:v>NÃO IDENTIFICADO</x:v>
      </x:c>
      <x:c r="J89" s="20" t="str"/>
      <x:c r="K89" s="20" t="e">
        <x:f>HYPERLINK("https://www.google.com/maps/search/?api=1&amp;query=M+Guandeline+Serralheria+Rua+Carmela+Dutra%2C+190+-+Bairro%3A+Jardim+Morumbi+-+Londrina+-+PR+-+CEP%3A+86036-360","Abrir mapa")</x:f>
        <x:v>HYPERLINK is not implemented. linkLocation=https://www.google.com/maps/search/?api=1&amp;query=M+Guandeline+Serralheria+Rua+Carmela+Dutra%2C+190+-+Bairro%3A+Jardim+Morumbi+-+Londrina+-+PR+-+CEP%3A+86036-360, friendlyName=Abrir mapa</x:v>
      </x:c>
      <x:c r="L89" s="26"/>
      <x:c r="M89" s="29"/>
      <x:c r="N89" s="20"/>
      <x:c r="O89" s="20" t="str">
        <x:v>NÃO IDENTIFICADO</x:v>
      </x:c>
      <x:c r="P89" s="20" t="str">
        <x:v>NÃO APLICÁVEL</x:v>
      </x:c>
      <x:c r="Q89" s="32"/>
      <x:c r="R89" s="20" t="str">
        <x:v>NÃO IDENTIFICADA</x:v>
      </x:c>
      <x:c r="S89" s="20"/>
      <x:c r="T89" s="20"/>
      <x:c r="U89" s="20" t="str">
        <x:v>NÃO IDENTIFICADO</x:v>
      </x:c>
      <x:c r="V89" s="20" t="str">
        <x:v>NÃO IDENTIFICADO</x:v>
      </x:c>
      <x:c r="W89" s="20" t="str">
        <x:v>NÃO IDENTIFICADO</x:v>
      </x:c>
      <x:c r="X89" s="23" t="str">
        <x:v>Serralheria e estruturas metálicas (categoria pública; confirmar escopo diretamente).</x:v>
      </x:c>
      <x:c r="Y89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89" s="23" t="str">
        <x:v>Se confirmado, landing page/site institucional com portfólio. Catálogo visual com pedido de orçamento. Formulário qualificado e integração com WhatsApp/CRM.</x:v>
      </x:c>
      <x:c r="AA89" s="23" t="str">
        <x:v>Apresentar um protótipo curto para serralherias, destacar portfólio e orçamento no celular, e pedir confirmação do processo atual antes de afirmar qualquer problema interno.</x:v>
      </x:c>
      <x:c r="AB89" s="23" t="str">
        <x:v>Nome, endereço e telefone publicados no diretório indicado em Fontes.</x:v>
      </x:c>
      <x:c r="AC89" s="35" t="n">
        <x:v>33</x:v>
      </x:c>
      <x:c r="AD89" s="23" t="str">
        <x:v>Prioridade D — Baixa</x:v>
      </x:c>
      <x:c r="AE89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89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89" s="23"/>
      <x:c r="AH89" s="23"/>
      <x:c r="AI89" s="38" t="d">
        <x:v>2026-10-18T15:00:00.000Z</x:v>
      </x:c>
      <x:c r="AJ89" s="20" t="str">
        <x:v>não contatado</x:v>
      </x:c>
      <x:c r="AK89" s="20" t="str"/>
      <x:c r="AL89" s="41"/>
      <x:c r="AM89" s="41"/>
    </x:row>
    <x:row r="90">
      <x:c r="A90" s="20" t="str">
        <x:v>884a7cf17ae6</x:v>
      </x:c>
      <x:c r="B90" s="20" t="str">
        <x:v>Serralheria Abreportas</x:v>
      </x:c>
      <x:c r="C90" s="20" t="str">
        <x:v>Serralherias</x:v>
      </x:c>
      <x:c r="D90" s="23" t="str">
        <x:v>Rua Gavião, 26 - Bairro: Paraíso - Londrina - PR - CEP: 86078-290</x:v>
      </x:c>
      <x:c r="E90" s="23" t="str">
        <x:v>Paraíso</x:v>
      </x:c>
      <x:c r="F90" s="20" t="str">
        <x:v>Londrina</x:v>
      </x:c>
      <x:c r="G90" s="20" t="str">
        <x:v>PR</x:v>
      </x:c>
      <x:c r="H90" s="20" t="str">
        <x:v>(43) 3334-1331</x:v>
      </x:c>
      <x:c r="I90" s="20" t="str">
        <x:v>NÃO IDENTIFICADO</x:v>
      </x:c>
      <x:c r="J90" s="20" t="str"/>
      <x:c r="K90" s="20" t="e">
        <x:f>HYPERLINK("https://www.google.com/maps/search/?api=1&amp;query=Serralheria+Abreportas+Rua+Gavi%C3%A3o%2C+26+-+Bairro%3A+Para%C3%ADso+-+Londrina+-+PR+-+CEP%3A+86078-290","Abrir mapa")</x:f>
        <x:v>HYPERLINK is not implemented. linkLocation=https://www.google.com/maps/search/?api=1&amp;query=Serralheria+Abreportas+Rua+Gavi%C3%A3o%2C+26+-+Bairro%3A+Para%C3%ADso+-+Londrina+-+PR+-+CEP%3A+86078-290, friendlyName=Abrir mapa</x:v>
      </x:c>
      <x:c r="L90" s="26"/>
      <x:c r="M90" s="29"/>
      <x:c r="N90" s="20"/>
      <x:c r="O90" s="20" t="str">
        <x:v>NÃO IDENTIFICADO</x:v>
      </x:c>
      <x:c r="P90" s="20" t="str">
        <x:v>NÃO APLICÁVEL</x:v>
      </x:c>
      <x:c r="Q90" s="32"/>
      <x:c r="R90" s="20" t="str">
        <x:v>NÃO IDENTIFICADA</x:v>
      </x:c>
      <x:c r="S90" s="20"/>
      <x:c r="T90" s="20"/>
      <x:c r="U90" s="20" t="str">
        <x:v>NÃO IDENTIFICADO</x:v>
      </x:c>
      <x:c r="V90" s="20" t="str">
        <x:v>NÃO IDENTIFICADO</x:v>
      </x:c>
      <x:c r="W90" s="20" t="str">
        <x:v>NÃO IDENTIFICADO</x:v>
      </x:c>
      <x:c r="X90" s="23" t="str">
        <x:v>Serralheria e estruturas metálicas (categoria pública; confirmar escopo diretamente).</x:v>
      </x:c>
      <x:c r="Y90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0" s="23" t="str">
        <x:v>Se confirmado, landing page/site institucional com portfólio. Catálogo visual com pedido de orçamento. Formulário qualificado e integração com WhatsApp/CRM.</x:v>
      </x:c>
      <x:c r="AA90" s="23" t="str">
        <x:v>Apresentar um protótipo curto para serralherias, destacar portfólio e orçamento no celular, e pedir confirmação do processo atual antes de afirmar qualquer problema interno.</x:v>
      </x:c>
      <x:c r="AB90" s="23" t="str">
        <x:v>Nome, endereço e telefone publicados no diretório indicado em Fontes.</x:v>
      </x:c>
      <x:c r="AC90" s="35" t="n">
        <x:v>33</x:v>
      </x:c>
      <x:c r="AD90" s="23" t="str">
        <x:v>Prioridade D — Baixa</x:v>
      </x:c>
      <x:c r="AE90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0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0" s="23"/>
      <x:c r="AH90" s="23"/>
      <x:c r="AI90" s="38" t="d">
        <x:v>2026-10-18T15:00:00.000Z</x:v>
      </x:c>
      <x:c r="AJ90" s="20" t="str">
        <x:v>não contatado</x:v>
      </x:c>
      <x:c r="AK90" s="20" t="str"/>
      <x:c r="AL90" s="41"/>
      <x:c r="AM90" s="41"/>
    </x:row>
    <x:row r="91">
      <x:c r="A91" s="20" t="str">
        <x:v>23825a58bf84</x:v>
      </x:c>
      <x:c r="B91" s="20" t="str">
        <x:v>Serralheria América</x:v>
      </x:c>
      <x:c r="C91" s="20" t="str">
        <x:v>Serralherias</x:v>
      </x:c>
      <x:c r="D91" s="23" t="str">
        <x:v>Avenida São João, 2626 - Bairro: Antares - Londrina - PR - CEP: 86036-030</x:v>
      </x:c>
      <x:c r="E91" s="23" t="str">
        <x:v>Antares</x:v>
      </x:c>
      <x:c r="F91" s="20" t="str">
        <x:v>Londrina</x:v>
      </x:c>
      <x:c r="G91" s="20" t="str">
        <x:v>PR</x:v>
      </x:c>
      <x:c r="H91" s="20" t="str">
        <x:v>(43) 3336-7414</x:v>
      </x:c>
      <x:c r="I91" s="20" t="str">
        <x:v>NÃO IDENTIFICADO</x:v>
      </x:c>
      <x:c r="J91" s="20" t="str"/>
      <x:c r="K91" s="20" t="e">
        <x:f>HYPERLINK("https://www.google.com/maps/search/?api=1&amp;query=Serralheria+Am%C3%A9rica+Avenida+S%C3%A3o+Jo%C3%A3o%2C+2626+-+Bairro%3A+Antares+-+Londrina+-+PR+-+CEP%3A+86036-030","Abrir mapa")</x:f>
        <x:v>HYPERLINK is not implemented. linkLocation=https://www.google.com/maps/search/?api=1&amp;query=Serralheria+Am%C3%A9rica+Avenida+S%C3%A3o+Jo%C3%A3o%2C+2626+-+Bairro%3A+Antares+-+Londrina+-+PR+-+CEP%3A+86036-030, friendlyName=Abrir mapa</x:v>
      </x:c>
      <x:c r="L91" s="26"/>
      <x:c r="M91" s="29"/>
      <x:c r="N91" s="20"/>
      <x:c r="O91" s="20" t="str">
        <x:v>NÃO IDENTIFICADO</x:v>
      </x:c>
      <x:c r="P91" s="20" t="str">
        <x:v>NÃO APLICÁVEL</x:v>
      </x:c>
      <x:c r="Q91" s="32"/>
      <x:c r="R91" s="20" t="str">
        <x:v>NÃO IDENTIFICADA</x:v>
      </x:c>
      <x:c r="S91" s="20"/>
      <x:c r="T91" s="20"/>
      <x:c r="U91" s="20" t="str">
        <x:v>NÃO IDENTIFICADO</x:v>
      </x:c>
      <x:c r="V91" s="20" t="str">
        <x:v>NÃO IDENTIFICADO</x:v>
      </x:c>
      <x:c r="W91" s="20" t="str">
        <x:v>NÃO IDENTIFICADO</x:v>
      </x:c>
      <x:c r="X91" s="23" t="str">
        <x:v>Serralheria e estruturas metálicas (categoria pública; confirmar escopo diretamente).</x:v>
      </x:c>
      <x:c r="Y91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1" s="23" t="str">
        <x:v>Se confirmado, landing page/site institucional com portfólio. Catálogo visual com pedido de orçamento. Formulário qualificado e integração com WhatsApp/CRM.</x:v>
      </x:c>
      <x:c r="AA91" s="23" t="str">
        <x:v>Apresentar um protótipo curto para serralherias, destacar portfólio e orçamento no celular, e pedir confirmação do processo atual antes de afirmar qualquer problema interno.</x:v>
      </x:c>
      <x:c r="AB91" s="23" t="str">
        <x:v>Nome, endereço e telefone publicados no diretório indicado em Fontes.</x:v>
      </x:c>
      <x:c r="AC91" s="35" t="n">
        <x:v>33</x:v>
      </x:c>
      <x:c r="AD91" s="23" t="str">
        <x:v>Prioridade D — Baixa</x:v>
      </x:c>
      <x:c r="AE91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1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1" s="23"/>
      <x:c r="AH91" s="23"/>
      <x:c r="AI91" s="38" t="d">
        <x:v>2026-10-18T15:00:00.000Z</x:v>
      </x:c>
      <x:c r="AJ91" s="20" t="str">
        <x:v>não contatado</x:v>
      </x:c>
      <x:c r="AK91" s="20" t="str"/>
      <x:c r="AL91" s="41"/>
      <x:c r="AM91" s="41"/>
    </x:row>
    <x:row r="92">
      <x:c r="A92" s="20" t="str">
        <x:v>5025b746946e</x:v>
      </x:c>
      <x:c r="B92" s="20" t="str">
        <x:v>Serralheria Antares</x:v>
      </x:c>
      <x:c r="C92" s="20" t="str">
        <x:v>Serralherias</x:v>
      </x:c>
      <x:c r="D92" s="23" t="str">
        <x:v>Avenida Laranjeiras, 1972 - Bairro: Marumbi - Londrina - PR - CEP: 86035-090</x:v>
      </x:c>
      <x:c r="E92" s="23" t="str">
        <x:v>Marumbi</x:v>
      </x:c>
      <x:c r="F92" s="20" t="str">
        <x:v>Londrina</x:v>
      </x:c>
      <x:c r="G92" s="20" t="str">
        <x:v>PR</x:v>
      </x:c>
      <x:c r="H92" s="20" t="str">
        <x:v>(43) 3356-3951</x:v>
      </x:c>
      <x:c r="I92" s="20" t="str">
        <x:v>NÃO IDENTIFICADO</x:v>
      </x:c>
      <x:c r="J92" s="20" t="str"/>
      <x:c r="K92" s="20" t="e">
        <x:f>HYPERLINK("https://www.google.com/maps/search/?api=1&amp;query=Serralheria+Antares+Avenida+Laranjeiras%2C+1972+-+Bairro%3A+Marumbi+-+Londrina+-+PR+-+CEP%3A+86035-090","Abrir mapa")</x:f>
        <x:v>HYPERLINK is not implemented. linkLocation=https://www.google.com/maps/search/?api=1&amp;query=Serralheria+Antares+Avenida+Laranjeiras%2C+1972+-+Bairro%3A+Marumbi+-+Londrina+-+PR+-+CEP%3A+86035-090, friendlyName=Abrir mapa</x:v>
      </x:c>
      <x:c r="L92" s="26"/>
      <x:c r="M92" s="29"/>
      <x:c r="N92" s="20"/>
      <x:c r="O92" s="20" t="str">
        <x:v>NÃO IDENTIFICADO</x:v>
      </x:c>
      <x:c r="P92" s="20" t="str">
        <x:v>NÃO APLICÁVEL</x:v>
      </x:c>
      <x:c r="Q92" s="32"/>
      <x:c r="R92" s="20" t="str">
        <x:v>NÃO IDENTIFICADA</x:v>
      </x:c>
      <x:c r="S92" s="20"/>
      <x:c r="T92" s="20"/>
      <x:c r="U92" s="20" t="str">
        <x:v>NÃO IDENTIFICADO</x:v>
      </x:c>
      <x:c r="V92" s="20" t="str">
        <x:v>NÃO IDENTIFICADO</x:v>
      </x:c>
      <x:c r="W92" s="20" t="str">
        <x:v>NÃO IDENTIFICADO</x:v>
      </x:c>
      <x:c r="X92" s="23" t="str">
        <x:v>Serralheria e estruturas metálicas (categoria pública; confirmar escopo diretamente).</x:v>
      </x:c>
      <x:c r="Y92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2" s="23" t="str">
        <x:v>Se confirmado, landing page/site institucional com portfólio. Catálogo visual com pedido de orçamento. Formulário qualificado e integração com WhatsApp/CRM.</x:v>
      </x:c>
      <x:c r="AA92" s="23" t="str">
        <x:v>Apresentar um protótipo curto para serralherias, destacar portfólio e orçamento no celular, e pedir confirmação do processo atual antes de afirmar qualquer problema interno.</x:v>
      </x:c>
      <x:c r="AB92" s="23" t="str">
        <x:v>Nome, endereço e telefone publicados no diretório indicado em Fontes.</x:v>
      </x:c>
      <x:c r="AC92" s="35" t="n">
        <x:v>33</x:v>
      </x:c>
      <x:c r="AD92" s="23" t="str">
        <x:v>Prioridade D — Baixa</x:v>
      </x:c>
      <x:c r="AE92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2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2" s="23"/>
      <x:c r="AH92" s="23"/>
      <x:c r="AI92" s="38" t="d">
        <x:v>2026-10-18T15:00:00.000Z</x:v>
      </x:c>
      <x:c r="AJ92" s="20" t="str">
        <x:v>não contatado</x:v>
      </x:c>
      <x:c r="AK92" s="20" t="str"/>
      <x:c r="AL92" s="41"/>
      <x:c r="AM92" s="41"/>
    </x:row>
    <x:row r="93">
      <x:c r="A93" s="20" t="str">
        <x:v>b022191a8972</x:v>
      </x:c>
      <x:c r="B93" s="20" t="str">
        <x:v>Serralheria Arte &amp; Ferro</x:v>
      </x:c>
      <x:c r="C93" s="20" t="str">
        <x:v>Serralherias</x:v>
      </x:c>
      <x:c r="D93" s="23" t="str">
        <x:v>Avenida Guilherme de Almeida, 1105 - Bairro: Ouro Branco - Londrina - PR - CEP: 86042-001</x:v>
      </x:c>
      <x:c r="E93" s="23" t="str">
        <x:v>Ouro Branco</x:v>
      </x:c>
      <x:c r="F93" s="20" t="str">
        <x:v>Londrina</x:v>
      </x:c>
      <x:c r="G93" s="20" t="str">
        <x:v>PR</x:v>
      </x:c>
      <x:c r="H93" s="20" t="str">
        <x:v>(43) 3342-0683</x:v>
      </x:c>
      <x:c r="I93" s="20" t="str">
        <x:v>NÃO IDENTIFICADO</x:v>
      </x:c>
      <x:c r="J93" s="20" t="str"/>
      <x:c r="K93" s="20" t="e">
        <x:f>HYPERLINK("https://www.google.com/maps/search/?api=1&amp;query=Serralheria+Arte+%26+Ferro+Avenida+Guilherme+de+Almeida%2C+1105+-+Bairro%3A+Ouro+Branco+-+Londrina+-+PR+-+CEP%3A+86042-001","Abrir mapa")</x:f>
        <x:v>HYPERLINK is not implemented. linkLocation=https://www.google.com/maps/search/?api=1&amp;query=Serralheria+Arte+%26+Ferro+Avenida+Guilherme+de+Almeida%2C+1105+-+Bairro%3A+Ouro+Branco+-+Londrina+-+PR+-+CEP%3A+86042-001, friendlyName=Abrir mapa</x:v>
      </x:c>
      <x:c r="L93" s="26"/>
      <x:c r="M93" s="29"/>
      <x:c r="N93" s="20"/>
      <x:c r="O93" s="20" t="str">
        <x:v>NÃO IDENTIFICADO</x:v>
      </x:c>
      <x:c r="P93" s="20" t="str">
        <x:v>NÃO APLICÁVEL</x:v>
      </x:c>
      <x:c r="Q93" s="32"/>
      <x:c r="R93" s="20" t="str">
        <x:v>NÃO IDENTIFICADA</x:v>
      </x:c>
      <x:c r="S93" s="20"/>
      <x:c r="T93" s="20"/>
      <x:c r="U93" s="20" t="str">
        <x:v>NÃO IDENTIFICADO</x:v>
      </x:c>
      <x:c r="V93" s="20" t="str">
        <x:v>NÃO IDENTIFICADO</x:v>
      </x:c>
      <x:c r="W93" s="20" t="str">
        <x:v>NÃO IDENTIFICADO</x:v>
      </x:c>
      <x:c r="X93" s="23" t="str">
        <x:v>Serralheria e estruturas metálicas (categoria pública; confirmar escopo diretamente).</x:v>
      </x:c>
      <x:c r="Y93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3" s="23" t="str">
        <x:v>Se confirmado, landing page/site institucional com portfólio. Catálogo visual com pedido de orçamento. Formulário qualificado e integração com WhatsApp/CRM.</x:v>
      </x:c>
      <x:c r="AA93" s="23" t="str">
        <x:v>Apresentar um protótipo curto para serralherias, destacar portfólio e orçamento no celular, e pedir confirmação do processo atual antes de afirmar qualquer problema interno.</x:v>
      </x:c>
      <x:c r="AB93" s="23" t="str">
        <x:v>Nome, endereço e telefone publicados no diretório indicado em Fontes.</x:v>
      </x:c>
      <x:c r="AC93" s="35" t="n">
        <x:v>33</x:v>
      </x:c>
      <x:c r="AD93" s="23" t="str">
        <x:v>Prioridade D — Baixa</x:v>
      </x:c>
      <x:c r="AE93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3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3" s="23"/>
      <x:c r="AH93" s="23"/>
      <x:c r="AI93" s="38" t="d">
        <x:v>2026-10-18T15:00:00.000Z</x:v>
      </x:c>
      <x:c r="AJ93" s="20" t="str">
        <x:v>não contatado</x:v>
      </x:c>
      <x:c r="AK93" s="20" t="str"/>
      <x:c r="AL93" s="41"/>
      <x:c r="AM93" s="41"/>
    </x:row>
    <x:row r="94">
      <x:c r="A94" s="20" t="str">
        <x:v>9647f04c39c5</x:v>
      </x:c>
      <x:c r="B94" s="20" t="str">
        <x:v>Serralheria Arte Metal</x:v>
      </x:c>
      <x:c r="C94" s="20" t="str">
        <x:v>Serralherias</x:v>
      </x:c>
      <x:c r="D94" s="23" t="str">
        <x:v>Rua Perdizes, 241 - Bairro: Paraíso - Londrina - PR - CEP: 86078-260</x:v>
      </x:c>
      <x:c r="E94" s="23" t="str">
        <x:v>Paraíso</x:v>
      </x:c>
      <x:c r="F94" s="20" t="str">
        <x:v>Londrina</x:v>
      </x:c>
      <x:c r="G94" s="20" t="str">
        <x:v>PR</x:v>
      </x:c>
      <x:c r="H94" s="20" t="str">
        <x:v>(43) 3336-6400</x:v>
      </x:c>
      <x:c r="I94" s="20" t="str">
        <x:v>NÃO IDENTIFICADO</x:v>
      </x:c>
      <x:c r="J94" s="20" t="str"/>
      <x:c r="K94" s="20" t="e">
        <x:f>HYPERLINK("https://www.google.com/maps/search/?api=1&amp;query=Serralheria+Arte+Metal+Rua+Perdizes%2C+241+-+Bairro%3A+Para%C3%ADso+-+Londrina+-+PR+-+CEP%3A+86078-260","Abrir mapa")</x:f>
        <x:v>HYPERLINK is not implemented. linkLocation=https://www.google.com/maps/search/?api=1&amp;query=Serralheria+Arte+Metal+Rua+Perdizes%2C+241+-+Bairro%3A+Para%C3%ADso+-+Londrina+-+PR+-+CEP%3A+86078-260, friendlyName=Abrir mapa</x:v>
      </x:c>
      <x:c r="L94" s="26"/>
      <x:c r="M94" s="29"/>
      <x:c r="N94" s="20"/>
      <x:c r="O94" s="20" t="str">
        <x:v>NÃO IDENTIFICADO</x:v>
      </x:c>
      <x:c r="P94" s="20" t="str">
        <x:v>NÃO APLICÁVEL</x:v>
      </x:c>
      <x:c r="Q94" s="32"/>
      <x:c r="R94" s="20" t="str">
        <x:v>NÃO IDENTIFICADA</x:v>
      </x:c>
      <x:c r="S94" s="20"/>
      <x:c r="T94" s="20"/>
      <x:c r="U94" s="20" t="str">
        <x:v>NÃO IDENTIFICADO</x:v>
      </x:c>
      <x:c r="V94" s="20" t="str">
        <x:v>NÃO IDENTIFICADO</x:v>
      </x:c>
      <x:c r="W94" s="20" t="str">
        <x:v>NÃO IDENTIFICADO</x:v>
      </x:c>
      <x:c r="X94" s="23" t="str">
        <x:v>Serralheria e estruturas metálicas (categoria pública; confirmar escopo diretamente).</x:v>
      </x:c>
      <x:c r="Y94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4" s="23" t="str">
        <x:v>Se confirmado, landing page/site institucional com portfólio. Catálogo visual com pedido de orçamento. Formulário qualificado e integração com WhatsApp/CRM.</x:v>
      </x:c>
      <x:c r="AA94" s="23" t="str">
        <x:v>Apresentar um protótipo curto para serralherias, destacar portfólio e orçamento no celular, e pedir confirmação do processo atual antes de afirmar qualquer problema interno.</x:v>
      </x:c>
      <x:c r="AB94" s="23" t="str">
        <x:v>Nome, endereço e telefone publicados no diretório indicado em Fontes.</x:v>
      </x:c>
      <x:c r="AC94" s="35" t="n">
        <x:v>33</x:v>
      </x:c>
      <x:c r="AD94" s="23" t="str">
        <x:v>Prioridade D — Baixa</x:v>
      </x:c>
      <x:c r="AE94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4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4" s="23"/>
      <x:c r="AH94" s="23"/>
      <x:c r="AI94" s="38" t="d">
        <x:v>2026-10-18T15:00:00.000Z</x:v>
      </x:c>
      <x:c r="AJ94" s="20" t="str">
        <x:v>não contatado</x:v>
      </x:c>
      <x:c r="AK94" s="20" t="str"/>
      <x:c r="AL94" s="41"/>
      <x:c r="AM94" s="41"/>
    </x:row>
    <x:row r="95">
      <x:c r="A95" s="20" t="str">
        <x:v>3c10b8ecb599</x:v>
      </x:c>
      <x:c r="B95" s="20" t="str">
        <x:v>Serralheria Artística</x:v>
      </x:c>
      <x:c r="C95" s="20" t="str">
        <x:v>Serralherias</x:v>
      </x:c>
      <x:c r="D95" s="23" t="str">
        <x:v>Rua Henrique Dias, 139 - Bairro: Nova Londres - Londrina - PR - CEP: 86015-810</x:v>
      </x:c>
      <x:c r="E95" s="23" t="str">
        <x:v>Nova Londres</x:v>
      </x:c>
      <x:c r="F95" s="20" t="str">
        <x:v>Londrina</x:v>
      </x:c>
      <x:c r="G95" s="20" t="str">
        <x:v>PR</x:v>
      </x:c>
      <x:c r="H95" s="20" t="str">
        <x:v>(43) 3341-5920</x:v>
      </x:c>
      <x:c r="I95" s="20" t="str">
        <x:v>NÃO IDENTIFICADO</x:v>
      </x:c>
      <x:c r="J95" s="20" t="str"/>
      <x:c r="K95" s="20" t="e">
        <x:f>HYPERLINK("https://www.google.com/maps/search/?api=1&amp;query=Serralheria+Art%C3%ADstica+Rua+Henrique+Dias%2C+139+-+Bairro%3A+Nova+Londres+-+Londrina+-+PR+-+CEP%3A+86015-810","Abrir mapa")</x:f>
        <x:v>HYPERLINK is not implemented. linkLocation=https://www.google.com/maps/search/?api=1&amp;query=Serralheria+Art%C3%ADstica+Rua+Henrique+Dias%2C+139+-+Bairro%3A+Nova+Londres+-+Londrina+-+PR+-+CEP%3A+86015-810, friendlyName=Abrir mapa</x:v>
      </x:c>
      <x:c r="L95" s="26"/>
      <x:c r="M95" s="29"/>
      <x:c r="N95" s="20"/>
      <x:c r="O95" s="20" t="str">
        <x:v>NÃO IDENTIFICADO</x:v>
      </x:c>
      <x:c r="P95" s="20" t="str">
        <x:v>NÃO APLICÁVEL</x:v>
      </x:c>
      <x:c r="Q95" s="32"/>
      <x:c r="R95" s="20" t="str">
        <x:v>NÃO IDENTIFICADA</x:v>
      </x:c>
      <x:c r="S95" s="20"/>
      <x:c r="T95" s="20"/>
      <x:c r="U95" s="20" t="str">
        <x:v>NÃO IDENTIFICADO</x:v>
      </x:c>
      <x:c r="V95" s="20" t="str">
        <x:v>NÃO IDENTIFICADO</x:v>
      </x:c>
      <x:c r="W95" s="20" t="str">
        <x:v>NÃO IDENTIFICADO</x:v>
      </x:c>
      <x:c r="X95" s="23" t="str">
        <x:v>Serralheria e estruturas metálicas (categoria pública; confirmar escopo diretamente).</x:v>
      </x:c>
      <x:c r="Y95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5" s="23" t="str">
        <x:v>Se confirmado, landing page/site institucional com portfólio. Catálogo visual com pedido de orçamento. Formulário qualificado e integração com WhatsApp/CRM.</x:v>
      </x:c>
      <x:c r="AA95" s="23" t="str">
        <x:v>Apresentar um protótipo curto para serralherias, destacar portfólio e orçamento no celular, e pedir confirmação do processo atual antes de afirmar qualquer problema interno.</x:v>
      </x:c>
      <x:c r="AB95" s="23" t="str">
        <x:v>Nome, endereço e telefone publicados no diretório indicado em Fontes.</x:v>
      </x:c>
      <x:c r="AC95" s="35" t="n">
        <x:v>33</x:v>
      </x:c>
      <x:c r="AD95" s="23" t="str">
        <x:v>Prioridade D — Baixa</x:v>
      </x:c>
      <x:c r="AE95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5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5" s="23"/>
      <x:c r="AH95" s="23"/>
      <x:c r="AI95" s="38" t="d">
        <x:v>2026-10-18T15:00:00.000Z</x:v>
      </x:c>
      <x:c r="AJ95" s="20" t="str">
        <x:v>não contatado</x:v>
      </x:c>
      <x:c r="AK95" s="20" t="str"/>
      <x:c r="AL95" s="41"/>
      <x:c r="AM95" s="41"/>
    </x:row>
    <x:row r="96">
      <x:c r="A96" s="20" t="str">
        <x:v>f1f425018e99</x:v>
      </x:c>
      <x:c r="B96" s="20" t="str">
        <x:v>Serralheria Brasília</x:v>
      </x:c>
      <x:c r="C96" s="20" t="str">
        <x:v>Serralherias</x:v>
      </x:c>
      <x:c r="D96" s="23" t="str">
        <x:v>Avenida Brasília, 1238 - Bairro: Lindóia - Londrina - PR - CEP: 86070-000</x:v>
      </x:c>
      <x:c r="E96" s="23" t="str">
        <x:v>Lindóia</x:v>
      </x:c>
      <x:c r="F96" s="20" t="str">
        <x:v>Londrina</x:v>
      </x:c>
      <x:c r="G96" s="20" t="str">
        <x:v>PR</x:v>
      </x:c>
      <x:c r="H96" s="20" t="str">
        <x:v>(43) 3327-5191</x:v>
      </x:c>
      <x:c r="I96" s="20" t="str">
        <x:v>NÃO IDENTIFICADO</x:v>
      </x:c>
      <x:c r="J96" s="20" t="str"/>
      <x:c r="K96" s="20" t="e">
        <x:f>HYPERLINK("https://www.google.com/maps/search/?api=1&amp;query=Serralheria+Bras%C3%ADlia+Avenida+Bras%C3%ADlia%2C+1238+-+Bairro%3A+Lind%C3%B3ia+-+Londrina+-+PR+-+CEP%3A+86070-000","Abrir mapa")</x:f>
        <x:v>HYPERLINK is not implemented. linkLocation=https://www.google.com/maps/search/?api=1&amp;query=Serralheria+Bras%C3%ADlia+Avenida+Bras%C3%ADlia%2C+1238+-+Bairro%3A+Lind%C3%B3ia+-+Londrina+-+PR+-+CEP%3A+86070-000, friendlyName=Abrir mapa</x:v>
      </x:c>
      <x:c r="L96" s="26"/>
      <x:c r="M96" s="29"/>
      <x:c r="N96" s="20"/>
      <x:c r="O96" s="20" t="str">
        <x:v>NÃO IDENTIFICADO</x:v>
      </x:c>
      <x:c r="P96" s="20" t="str">
        <x:v>NÃO APLICÁVEL</x:v>
      </x:c>
      <x:c r="Q96" s="32"/>
      <x:c r="R96" s="20" t="str">
        <x:v>NÃO IDENTIFICADA</x:v>
      </x:c>
      <x:c r="S96" s="20"/>
      <x:c r="T96" s="20"/>
      <x:c r="U96" s="20" t="str">
        <x:v>NÃO IDENTIFICADO</x:v>
      </x:c>
      <x:c r="V96" s="20" t="str">
        <x:v>NÃO IDENTIFICADO</x:v>
      </x:c>
      <x:c r="W96" s="20" t="str">
        <x:v>NÃO IDENTIFICADO</x:v>
      </x:c>
      <x:c r="X96" s="23" t="str">
        <x:v>Serralheria e estruturas metálicas (categoria pública; confirmar escopo diretamente).</x:v>
      </x:c>
      <x:c r="Y96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6" s="23" t="str">
        <x:v>Se confirmado, landing page/site institucional com portfólio. Catálogo visual com pedido de orçamento. Formulário qualificado e integração com WhatsApp/CRM.</x:v>
      </x:c>
      <x:c r="AA96" s="23" t="str">
        <x:v>Apresentar um protótipo curto para serralherias, destacar portfólio e orçamento no celular, e pedir confirmação do processo atual antes de afirmar qualquer problema interno.</x:v>
      </x:c>
      <x:c r="AB96" s="23" t="str">
        <x:v>Nome, endereço e telefone publicados no diretório indicado em Fontes.</x:v>
      </x:c>
      <x:c r="AC96" s="35" t="n">
        <x:v>33</x:v>
      </x:c>
      <x:c r="AD96" s="23" t="str">
        <x:v>Prioridade D — Baixa</x:v>
      </x:c>
      <x:c r="AE96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6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6" s="23"/>
      <x:c r="AH96" s="23"/>
      <x:c r="AI96" s="38" t="d">
        <x:v>2026-10-18T15:00:00.000Z</x:v>
      </x:c>
      <x:c r="AJ96" s="20" t="str">
        <x:v>não contatado</x:v>
      </x:c>
      <x:c r="AK96" s="20" t="str"/>
      <x:c r="AL96" s="41"/>
      <x:c r="AM96" s="41"/>
    </x:row>
    <x:row r="97">
      <x:c r="A97" s="20" t="str">
        <x:v>fd5fcca5e57f</x:v>
      </x:c>
      <x:c r="B97" s="20" t="str">
        <x:v>Serralheria Campos</x:v>
      </x:c>
      <x:c r="C97" s="20" t="str">
        <x:v>Serralherias</x:v>
      </x:c>
      <x:c r="D97" s="23" t="str">
        <x:v>Rua Winston Churchill, 691 - Bairro: Andes - Londrina - PR - CEP: 86076-000</x:v>
      </x:c>
      <x:c r="E97" s="23" t="str">
        <x:v>Andes</x:v>
      </x:c>
      <x:c r="F97" s="20" t="str">
        <x:v>Londrina</x:v>
      </x:c>
      <x:c r="G97" s="20" t="str">
        <x:v>PR</x:v>
      </x:c>
      <x:c r="H97" s="20" t="str">
        <x:v>(43) 3357-2756</x:v>
      </x:c>
      <x:c r="I97" s="20" t="str">
        <x:v>NÃO IDENTIFICADO</x:v>
      </x:c>
      <x:c r="J97" s="20" t="str"/>
      <x:c r="K97" s="20" t="e">
        <x:f>HYPERLINK("https://www.google.com/maps/search/?api=1&amp;query=Serralheria+Campos+Rua+Winston+Churchill%2C+691+-+Bairro%3A+Andes+-+Londrina+-+PR+-+CEP%3A+86076-000","Abrir mapa")</x:f>
        <x:v>HYPERLINK is not implemented. linkLocation=https://www.google.com/maps/search/?api=1&amp;query=Serralheria+Campos+Rua+Winston+Churchill%2C+691+-+Bairro%3A+Andes+-+Londrina+-+PR+-+CEP%3A+86076-000, friendlyName=Abrir mapa</x:v>
      </x:c>
      <x:c r="L97" s="26"/>
      <x:c r="M97" s="29"/>
      <x:c r="N97" s="20"/>
      <x:c r="O97" s="20" t="str">
        <x:v>NÃO IDENTIFICADO</x:v>
      </x:c>
      <x:c r="P97" s="20" t="str">
        <x:v>NÃO APLICÁVEL</x:v>
      </x:c>
      <x:c r="Q97" s="32"/>
      <x:c r="R97" s="20" t="str">
        <x:v>NÃO IDENTIFICADA</x:v>
      </x:c>
      <x:c r="S97" s="20"/>
      <x:c r="T97" s="20"/>
      <x:c r="U97" s="20" t="str">
        <x:v>NÃO IDENTIFICADO</x:v>
      </x:c>
      <x:c r="V97" s="20" t="str">
        <x:v>NÃO IDENTIFICADO</x:v>
      </x:c>
      <x:c r="W97" s="20" t="str">
        <x:v>NÃO IDENTIFICADO</x:v>
      </x:c>
      <x:c r="X97" s="23" t="str">
        <x:v>Serralheria e estruturas metálicas (categoria pública; confirmar escopo diretamente).</x:v>
      </x:c>
      <x:c r="Y97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7" s="23" t="str">
        <x:v>Se confirmado, landing page/site institucional com portfólio. Catálogo visual com pedido de orçamento. Formulário qualificado e integração com WhatsApp/CRM.</x:v>
      </x:c>
      <x:c r="AA97" s="23" t="str">
        <x:v>Apresentar um protótipo curto para serralherias, destacar portfólio e orçamento no celular, e pedir confirmação do processo atual antes de afirmar qualquer problema interno.</x:v>
      </x:c>
      <x:c r="AB97" s="23" t="str">
        <x:v>Nome, endereço e telefone publicados no diretório indicado em Fontes.</x:v>
      </x:c>
      <x:c r="AC97" s="35" t="n">
        <x:v>33</x:v>
      </x:c>
      <x:c r="AD97" s="23" t="str">
        <x:v>Prioridade D — Baixa</x:v>
      </x:c>
      <x:c r="AE97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7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7" s="23"/>
      <x:c r="AH97" s="23"/>
      <x:c r="AI97" s="38" t="d">
        <x:v>2026-10-18T15:00:00.000Z</x:v>
      </x:c>
      <x:c r="AJ97" s="20" t="str">
        <x:v>não contatado</x:v>
      </x:c>
      <x:c r="AK97" s="20" t="str"/>
      <x:c r="AL97" s="41"/>
      <x:c r="AM97" s="41"/>
    </x:row>
    <x:row r="98">
      <x:c r="A98" s="20" t="str">
        <x:v>135facc6771d</x:v>
      </x:c>
      <x:c r="B98" s="20" t="str">
        <x:v>Serralheria Carrara</x:v>
      </x:c>
      <x:c r="C98" s="20" t="str">
        <x:v>Serralherias</x:v>
      </x:c>
      <x:c r="D98" s="23" t="str">
        <x:v>Avenida Arthur Thomaz, 177 - Bairro: Centro - Londrina - PR - CEP: 86065-000</x:v>
      </x:c>
      <x:c r="E98" s="23" t="str">
        <x:v>Centro</x:v>
      </x:c>
      <x:c r="F98" s="20" t="str">
        <x:v>Londrina</x:v>
      </x:c>
      <x:c r="G98" s="20" t="str">
        <x:v>PR</x:v>
      </x:c>
      <x:c r="H98" s="20" t="str">
        <x:v>(43) 3327-4984</x:v>
      </x:c>
      <x:c r="I98" s="20" t="str">
        <x:v>NÃO IDENTIFICADO</x:v>
      </x:c>
      <x:c r="J98" s="20" t="str"/>
      <x:c r="K98" s="20" t="e">
        <x:f>HYPERLINK("https://www.google.com/maps/search/?api=1&amp;query=Serralheria+Carrara+Avenida+Arthur+Thomaz%2C+177+-+Bairro%3A+Centro+-+Londrina+-+PR+-+CEP%3A+86065-000","Abrir mapa")</x:f>
        <x:v>HYPERLINK is not implemented. linkLocation=https://www.google.com/maps/search/?api=1&amp;query=Serralheria+Carrara+Avenida+Arthur+Thomaz%2C+177+-+Bairro%3A+Centro+-+Londrina+-+PR+-+CEP%3A+86065-000, friendlyName=Abrir mapa</x:v>
      </x:c>
      <x:c r="L98" s="26"/>
      <x:c r="M98" s="29"/>
      <x:c r="N98" s="20"/>
      <x:c r="O98" s="20" t="str">
        <x:v>NÃO IDENTIFICADO</x:v>
      </x:c>
      <x:c r="P98" s="20" t="str">
        <x:v>NÃO APLICÁVEL</x:v>
      </x:c>
      <x:c r="Q98" s="32"/>
      <x:c r="R98" s="20" t="str">
        <x:v>NÃO IDENTIFICADA</x:v>
      </x:c>
      <x:c r="S98" s="20"/>
      <x:c r="T98" s="20"/>
      <x:c r="U98" s="20" t="str">
        <x:v>NÃO IDENTIFICADO</x:v>
      </x:c>
      <x:c r="V98" s="20" t="str">
        <x:v>NÃO IDENTIFICADO</x:v>
      </x:c>
      <x:c r="W98" s="20" t="str">
        <x:v>NÃO IDENTIFICADO</x:v>
      </x:c>
      <x:c r="X98" s="23" t="str">
        <x:v>Serralheria e estruturas metálicas (categoria pública; confirmar escopo diretamente).</x:v>
      </x:c>
      <x:c r="Y98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8" s="23" t="str">
        <x:v>Se confirmado, landing page/site institucional com portfólio. Catálogo visual com pedido de orçamento. Formulário qualificado e integração com WhatsApp/CRM.</x:v>
      </x:c>
      <x:c r="AA98" s="23" t="str">
        <x:v>Apresentar um protótipo curto para serralherias, destacar portfólio e orçamento no celular, e pedir confirmação do processo atual antes de afirmar qualquer problema interno.</x:v>
      </x:c>
      <x:c r="AB98" s="23" t="str">
        <x:v>Nome, endereço e telefone publicados no diretório indicado em Fontes.</x:v>
      </x:c>
      <x:c r="AC98" s="35" t="n">
        <x:v>33</x:v>
      </x:c>
      <x:c r="AD98" s="23" t="str">
        <x:v>Prioridade D — Baixa</x:v>
      </x:c>
      <x:c r="AE98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8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8" s="23"/>
      <x:c r="AH98" s="23"/>
      <x:c r="AI98" s="38" t="d">
        <x:v>2026-10-18T15:00:00.000Z</x:v>
      </x:c>
      <x:c r="AJ98" s="20" t="str">
        <x:v>não contatado</x:v>
      </x:c>
      <x:c r="AK98" s="20" t="str"/>
      <x:c r="AL98" s="41"/>
      <x:c r="AM98" s="41"/>
    </x:row>
    <x:row r="99">
      <x:c r="A99" s="20" t="str">
        <x:v>e5889d09342b</x:v>
      </x:c>
      <x:c r="B99" s="20" t="str">
        <x:v>Serralheria Carvalho</x:v>
      </x:c>
      <x:c r="C99" s="20" t="str">
        <x:v>Serralherias</x:v>
      </x:c>
      <x:c r="D99" s="23" t="str">
        <x:v>Avenida Luigi Amorese 6442 - Bairro: Leonor - Londrina - PR - CEP: 86071-020</x:v>
      </x:c>
      <x:c r="E99" s="23" t="str">
        <x:v>Leonor</x:v>
      </x:c>
      <x:c r="F99" s="20" t="str">
        <x:v>Londrina</x:v>
      </x:c>
      <x:c r="G99" s="20" t="str">
        <x:v>PR</x:v>
      </x:c>
      <x:c r="H99" s="20" t="str">
        <x:v>(43) 3338-5918</x:v>
      </x:c>
      <x:c r="I99" s="20" t="str">
        <x:v>NÃO IDENTIFICADO</x:v>
      </x:c>
      <x:c r="J99" s="20" t="str"/>
      <x:c r="K99" s="20" t="e">
        <x:f>HYPERLINK("https://www.google.com/maps/search/?api=1&amp;query=Serralheria+Carvalho+Avenida+Luigi+Amorese+6442+-+Bairro%3A+Leonor+-+Londrina+-+PR+-+CEP%3A+86071-020","Abrir mapa")</x:f>
        <x:v>HYPERLINK is not implemented. linkLocation=https://www.google.com/maps/search/?api=1&amp;query=Serralheria+Carvalho+Avenida+Luigi+Amorese+6442+-+Bairro%3A+Leonor+-+Londrina+-+PR+-+CEP%3A+86071-020, friendlyName=Abrir mapa</x:v>
      </x:c>
      <x:c r="L99" s="26"/>
      <x:c r="M99" s="29"/>
      <x:c r="N99" s="20"/>
      <x:c r="O99" s="20" t="str">
        <x:v>NÃO IDENTIFICADO</x:v>
      </x:c>
      <x:c r="P99" s="20" t="str">
        <x:v>NÃO APLICÁVEL</x:v>
      </x:c>
      <x:c r="Q99" s="32"/>
      <x:c r="R99" s="20" t="str">
        <x:v>NÃO IDENTIFICADA</x:v>
      </x:c>
      <x:c r="S99" s="20"/>
      <x:c r="T99" s="20"/>
      <x:c r="U99" s="20" t="str">
        <x:v>NÃO IDENTIFICADO</x:v>
      </x:c>
      <x:c r="V99" s="20" t="str">
        <x:v>NÃO IDENTIFICADO</x:v>
      </x:c>
      <x:c r="W99" s="20" t="str">
        <x:v>NÃO IDENTIFICADO</x:v>
      </x:c>
      <x:c r="X99" s="23" t="str">
        <x:v>Serralheria e estruturas metálicas (categoria pública; confirmar escopo diretamente).</x:v>
      </x:c>
      <x:c r="Y99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99" s="23" t="str">
        <x:v>Se confirmado, landing page/site institucional com portfólio. Catálogo visual com pedido de orçamento. Formulário qualificado e integração com WhatsApp/CRM.</x:v>
      </x:c>
      <x:c r="AA99" s="23" t="str">
        <x:v>Apresentar um protótipo curto para serralherias, destacar portfólio e orçamento no celular, e pedir confirmação do processo atual antes de afirmar qualquer problema interno.</x:v>
      </x:c>
      <x:c r="AB99" s="23" t="str">
        <x:v>Nome, endereço e telefone publicados no diretório indicado em Fontes.</x:v>
      </x:c>
      <x:c r="AC99" s="35" t="n">
        <x:v>33</x:v>
      </x:c>
      <x:c r="AD99" s="23" t="str">
        <x:v>Prioridade D — Baixa</x:v>
      </x:c>
      <x:c r="AE99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99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99" s="23"/>
      <x:c r="AH99" s="23"/>
      <x:c r="AI99" s="38" t="d">
        <x:v>2026-10-18T15:00:00.000Z</x:v>
      </x:c>
      <x:c r="AJ99" s="20" t="str">
        <x:v>não contatado</x:v>
      </x:c>
      <x:c r="AK99" s="20" t="str"/>
      <x:c r="AL99" s="41"/>
      <x:c r="AM99" s="41"/>
    </x:row>
    <x:row r="100">
      <x:c r="A100" s="20" t="str">
        <x:v>25f09cedfbf2</x:v>
      </x:c>
      <x:c r="B100" s="20" t="str">
        <x:v>Serralheria Demelon</x:v>
      </x:c>
      <x:c r="C100" s="20" t="str">
        <x:v>Serralherias</x:v>
      </x:c>
      <x:c r="D100" s="23" t="str">
        <x:v>Rua Nassim Jabur, 511 - Bairro: Paulista - Londrina - PR - CEP: 86079-050</x:v>
      </x:c>
      <x:c r="E100" s="23" t="str">
        <x:v>Paulista</x:v>
      </x:c>
      <x:c r="F100" s="20" t="str">
        <x:v>Londrina</x:v>
      </x:c>
      <x:c r="G100" s="20" t="str">
        <x:v>PR</x:v>
      </x:c>
      <x:c r="H100" s="20" t="str">
        <x:v>(43) 3329-0406</x:v>
      </x:c>
      <x:c r="I100" s="20" t="str">
        <x:v>NÃO IDENTIFICADO</x:v>
      </x:c>
      <x:c r="J100" s="20" t="str"/>
      <x:c r="K100" s="20" t="e">
        <x:f>HYPERLINK("https://www.google.com/maps/search/?api=1&amp;query=Serralheria+Demelon+Rua+Nassim+Jabur%2C+511+-+Bairro%3A+Paulista+-+Londrina+-+PR+-+CEP%3A+86079-050","Abrir mapa")</x:f>
        <x:v>HYPERLINK is not implemented. linkLocation=https://www.google.com/maps/search/?api=1&amp;query=Serralheria+Demelon+Rua+Nassim+Jabur%2C+511+-+Bairro%3A+Paulista+-+Londrina+-+PR+-+CEP%3A+86079-050, friendlyName=Abrir mapa</x:v>
      </x:c>
      <x:c r="L100" s="26"/>
      <x:c r="M100" s="29"/>
      <x:c r="N100" s="20"/>
      <x:c r="O100" s="20" t="str">
        <x:v>NÃO IDENTIFICADO</x:v>
      </x:c>
      <x:c r="P100" s="20" t="str">
        <x:v>NÃO APLICÁVEL</x:v>
      </x:c>
      <x:c r="Q100" s="32"/>
      <x:c r="R100" s="20" t="str">
        <x:v>NÃO IDENTIFICADA</x:v>
      </x:c>
      <x:c r="S100" s="20"/>
      <x:c r="T100" s="20"/>
      <x:c r="U100" s="20" t="str">
        <x:v>NÃO IDENTIFICADO</x:v>
      </x:c>
      <x:c r="V100" s="20" t="str">
        <x:v>NÃO IDENTIFICADO</x:v>
      </x:c>
      <x:c r="W100" s="20" t="str">
        <x:v>NÃO IDENTIFICADO</x:v>
      </x:c>
      <x:c r="X100" s="23" t="str">
        <x:v>Serralheria e estruturas metálicas (categoria pública; confirmar escopo diretamente).</x:v>
      </x:c>
      <x:c r="Y100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100" s="23" t="str">
        <x:v>Se confirmado, landing page/site institucional com portfólio. Catálogo visual com pedido de orçamento. Formulário qualificado e integração com WhatsApp/CRM.</x:v>
      </x:c>
      <x:c r="AA100" s="23" t="str">
        <x:v>Apresentar um protótipo curto para serralherias, destacar portfólio e orçamento no celular, e pedir confirmação do processo atual antes de afirmar qualquer problema interno.</x:v>
      </x:c>
      <x:c r="AB100" s="23" t="str">
        <x:v>Nome, endereço e telefone publicados no diretório indicado em Fontes.</x:v>
      </x:c>
      <x:c r="AC100" s="35" t="n">
        <x:v>33</x:v>
      </x:c>
      <x:c r="AD100" s="23" t="str">
        <x:v>Prioridade D — Baixa</x:v>
      </x:c>
      <x:c r="AE100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100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100" s="23"/>
      <x:c r="AH100" s="23"/>
      <x:c r="AI100" s="38" t="d">
        <x:v>2026-10-18T15:00:00.000Z</x:v>
      </x:c>
      <x:c r="AJ100" s="20" t="str">
        <x:v>não contatado</x:v>
      </x:c>
      <x:c r="AK100" s="20" t="str"/>
      <x:c r="AL100" s="41"/>
      <x:c r="AM100" s="41"/>
    </x:row>
    <x:row r="101">
      <x:c r="A101" s="20" t="str">
        <x:v>cdc9275320d4</x:v>
      </x:c>
      <x:c r="B101" s="20" t="str">
        <x:v>Serralheria Destac</x:v>
      </x:c>
      <x:c r="C101" s="20" t="str">
        <x:v>Serralherias</x:v>
      </x:c>
      <x:c r="D101" s="23" t="str">
        <x:v>Avenida Jules Verne, 895 - Bairro: Conjunto Santa Rita - Londrina - PR - CEP: 86072-450</x:v>
      </x:c>
      <x:c r="E101" s="23" t="str">
        <x:v>Conjunto Santa Rita</x:v>
      </x:c>
      <x:c r="F101" s="20" t="str">
        <x:v>Londrina</x:v>
      </x:c>
      <x:c r="G101" s="20" t="str">
        <x:v>PR</x:v>
      </x:c>
      <x:c r="H101" s="20" t="str">
        <x:v>(43) 3328-6561</x:v>
      </x:c>
      <x:c r="I101" s="20" t="str">
        <x:v>NÃO IDENTIFICADO</x:v>
      </x:c>
      <x:c r="J101" s="20" t="str"/>
      <x:c r="K101" s="20" t="e">
        <x:f>HYPERLINK("https://www.google.com/maps/search/?api=1&amp;query=Serralheria+Destac+Avenida+Jules+Verne%2C+895+-+Bairro%3A+Conjunto+Santa+Rita+-+Londrina+-+PR+-+CEP%3A+86072-450","Abrir mapa")</x:f>
        <x:v>HYPERLINK is not implemented. linkLocation=https://www.google.com/maps/search/?api=1&amp;query=Serralheria+Destac+Avenida+Jules+Verne%2C+895+-+Bairro%3A+Conjunto+Santa+Rita+-+Londrina+-+PR+-+CEP%3A+86072-450, friendlyName=Abrir mapa</x:v>
      </x:c>
      <x:c r="L101" s="26"/>
      <x:c r="M101" s="29"/>
      <x:c r="N101" s="20"/>
      <x:c r="O101" s="20" t="str">
        <x:v>NÃO IDENTIFICADO</x:v>
      </x:c>
      <x:c r="P101" s="20" t="str">
        <x:v>NÃO APLICÁVEL</x:v>
      </x:c>
      <x:c r="Q101" s="32"/>
      <x:c r="R101" s="20" t="str">
        <x:v>NÃO IDENTIFICADA</x:v>
      </x:c>
      <x:c r="S101" s="20"/>
      <x:c r="T101" s="20"/>
      <x:c r="U101" s="20" t="str">
        <x:v>NÃO IDENTIFICADO</x:v>
      </x:c>
      <x:c r="V101" s="20" t="str">
        <x:v>NÃO IDENTIFICADO</x:v>
      </x:c>
      <x:c r="W101" s="20" t="str">
        <x:v>NÃO IDENTIFICADO</x:v>
      </x:c>
      <x:c r="X101" s="23" t="str">
        <x:v>Serralheria e estruturas metálicas (categoria pública; confirmar escopo diretamente).</x:v>
      </x:c>
      <x:c r="Y101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101" s="23" t="str">
        <x:v>Se confirmado, landing page/site institucional com portfólio. Catálogo visual com pedido de orçamento. Formulário qualificado e integração com WhatsApp/CRM.</x:v>
      </x:c>
      <x:c r="AA101" s="23" t="str">
        <x:v>Apresentar um protótipo curto para serralherias, destacar portfólio e orçamento no celular, e pedir confirmação do processo atual antes de afirmar qualquer problema interno.</x:v>
      </x:c>
      <x:c r="AB101" s="23" t="str">
        <x:v>Nome, endereço e telefone publicados no diretório indicado em Fontes.</x:v>
      </x:c>
      <x:c r="AC101" s="35" t="n">
        <x:v>33</x:v>
      </x:c>
      <x:c r="AD101" s="23" t="str">
        <x:v>Prioridade D — Baixa</x:v>
      </x:c>
      <x:c r="AE101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101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101" s="23"/>
      <x:c r="AH101" s="23"/>
      <x:c r="AI101" s="38" t="d">
        <x:v>2026-10-18T15:00:00.000Z</x:v>
      </x:c>
      <x:c r="AJ101" s="20" t="str">
        <x:v>não contatado</x:v>
      </x:c>
      <x:c r="AK101" s="20" t="str"/>
      <x:c r="AL101" s="41"/>
      <x:c r="AM101" s="41"/>
    </x:row>
    <x:row r="102">
      <x:c r="A102" s="20" t="str">
        <x:v>387298261c8c</x:v>
      </x:c>
      <x:c r="B102" s="20" t="str">
        <x:v>Serralheria Do Claudinei</x:v>
      </x:c>
      <x:c r="C102" s="20" t="str">
        <x:v>Serralherias</x:v>
      </x:c>
      <x:c r="D102" s="23" t="str">
        <x:v>Rua Geraldo Francisco dos Santos, 223 - Bairro: Santa Izabel - Londrina - PR - CEP: 86031-020</x:v>
      </x:c>
      <x:c r="E102" s="23" t="str">
        <x:v>Santa Izabel</x:v>
      </x:c>
      <x:c r="F102" s="20" t="str">
        <x:v>Londrina</x:v>
      </x:c>
      <x:c r="G102" s="20" t="str">
        <x:v>PR</x:v>
      </x:c>
      <x:c r="H102" s="20" t="str">
        <x:v>(43) 3336-5797</x:v>
      </x:c>
      <x:c r="I102" s="20" t="str">
        <x:v>NÃO IDENTIFICADO</x:v>
      </x:c>
      <x:c r="J102" s="20" t="str"/>
      <x:c r="K102" s="20" t="e">
        <x:f>HYPERLINK("https://www.google.com/maps/search/?api=1&amp;query=Serralheria+Do+Claudinei+Rua+Geraldo+Francisco+dos+Santos%2C+223+-+Bairro%3A+Santa+Izabel+-+Londrina+-+PR+-+CEP%3A+86031-020","Abrir mapa")</x:f>
        <x:v>HYPERLINK is not implemented. linkLocation=https://www.google.com/maps/search/?api=1&amp;query=Serralheria+Do+Claudinei+Rua+Geraldo+Francisco+dos+Santos%2C+223+-+Bairro%3A+Santa+Izabel+-+Londrina+-+PR+-+CEP%3A+86031-020, friendlyName=Abrir mapa</x:v>
      </x:c>
      <x:c r="L102" s="26"/>
      <x:c r="M102" s="29"/>
      <x:c r="N102" s="20"/>
      <x:c r="O102" s="20" t="str">
        <x:v>NÃO IDENTIFICADO</x:v>
      </x:c>
      <x:c r="P102" s="20" t="str">
        <x:v>NÃO APLICÁVEL</x:v>
      </x:c>
      <x:c r="Q102" s="32"/>
      <x:c r="R102" s="20" t="str">
        <x:v>NÃO IDENTIFICADA</x:v>
      </x:c>
      <x:c r="S102" s="20"/>
      <x:c r="T102" s="20"/>
      <x:c r="U102" s="20" t="str">
        <x:v>NÃO IDENTIFICADO</x:v>
      </x:c>
      <x:c r="V102" s="20" t="str">
        <x:v>NÃO IDENTIFICADO</x:v>
      </x:c>
      <x:c r="W102" s="20" t="str">
        <x:v>NÃO IDENTIFICADO</x:v>
      </x:c>
      <x:c r="X102" s="23" t="str">
        <x:v>Serralheria e estruturas metálicas (categoria pública; confirmar escopo diretamente).</x:v>
      </x:c>
      <x:c r="Y102" s="23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102" s="23" t="str">
        <x:v>Se confirmado, landing page/site institucional com portfólio. Catálogo visual com pedido de orçamento. Formulário qualificado e integração com WhatsApp/CRM.</x:v>
      </x:c>
      <x:c r="AA102" s="23" t="str">
        <x:v>Apresentar um protótipo curto para serralherias, destacar portfólio e orçamento no celular, e pedir confirmação do processo atual antes de afirmar qualquer problema interno.</x:v>
      </x:c>
      <x:c r="AB102" s="23" t="str">
        <x:v>Nome, endereço e telefone publicados no diretório indicado em Fontes.</x:v>
      </x:c>
      <x:c r="AC102" s="35" t="n">
        <x:v>33</x:v>
      </x:c>
      <x:c r="AD102" s="23" t="str">
        <x:v>Prioridade D — Baixa</x:v>
      </x:c>
      <x:c r="AE102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102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102" s="23"/>
      <x:c r="AH102" s="23"/>
      <x:c r="AI102" s="38" t="d">
        <x:v>2026-10-18T15:00:00.000Z</x:v>
      </x:c>
      <x:c r="AJ102" s="20" t="str">
        <x:v>não contatado</x:v>
      </x:c>
      <x:c r="AK102" s="20" t="str"/>
      <x:c r="AL102" s="41"/>
      <x:c r="AM102" s="41"/>
    </x:row>
    <x:row r="103">
      <x:c r="A103" s="20" t="str">
        <x:v>c4fb4e31826f</x:v>
      </x:c>
      <x:c r="B103" s="20" t="str">
        <x:v>Serralheria e Vidraçaria Portec.</x:v>
      </x:c>
      <x:c r="C103" s="20" t="str">
        <x:v>Serralherias</x:v>
      </x:c>
      <x:c r="D103" s="23" t="str">
        <x:v>Rua Estação Ecológica Esmeralda, s/n - Bairro: Vila A B Vicentini - Londrina</x:v>
      </x:c>
      <x:c r="E103" s="23" t="str">
        <x:v>Vila A B Vicentini</x:v>
      </x:c>
      <x:c r="F103" s="20" t="str">
        <x:v>Londrina</x:v>
      </x:c>
      <x:c r="G103" s="20" t="str">
        <x:v>PR</x:v>
      </x:c>
      <x:c r="H103" s="20" t="str">
        <x:v>(43) 99997-2917</x:v>
      </x:c>
      <x:c r="I103" s="20" t="str">
        <x:v>SIM</x:v>
      </x:c>
      <x:c r="J103" s="20" t="str">
        <x:v>(43) 99997-2917</x:v>
      </x:c>
      <x:c r="K103" s="20" t="e">
        <x:f>HYPERLINK("https://www.google.com/maps/search/?api=1&amp;query=Serralheria+e+Vidra%C3%A7aria+Portec.+Rua+Esta%C3%A7%C3%A3o+Ecol%C3%B3gica+Esmeralda%2C+s%2Fn+-+Bairro%3A+Vila+A+B+Vicentini+-+Londrina","Abrir mapa")</x:f>
        <x:v>HYPERLINK is not implemented. linkLocation=https://www.google.com/maps/search/?api=1&amp;query=Serralheria+e+Vidra%C3%A7aria+Portec.+Rua+Esta%C3%A7%C3%A3o+Ecol%C3%B3gica+Esmeralda%2C+s%2Fn+-+Bairro%3A+Vila+A+B+Vicentini+-+Londrina, friendlyName=Abrir mapa</x:v>
      </x:c>
      <x:c r="L103" s="26"/>
      <x:c r="M103" s="29"/>
      <x:c r="N103" s="20" t="e">
        <x:f>HYPERLINK("https://www.serralheriaportec.com.br","Abrir site")</x:f>
        <x:v>HYPERLINK is not implemented. linkLocation=https://www.serralheriaportec.com.br, friendlyName=Abrir site</x:v>
      </x:c>
      <x:c r="O103" s="20" t="str">
        <x:v>SIM</x:v>
      </x:c>
      <x:c r="P103" s="20" t="str">
        <x:v>INDISPONÍVEL NA VERIFICAÇÃO</x:v>
      </x:c>
      <x:c r="Q103" s="32"/>
      <x:c r="R103" s="20" t="str">
        <x:v>INCOMPLETA</x:v>
      </x:c>
      <x:c r="S103" s="20"/>
      <x:c r="T103" s="20" t="e">
        <x:f>HYPERLINK("https://facebook.com/serralheria.portec","Facebook")</x:f>
        <x:v>HYPERLINK is not implemented. linkLocation=https://facebook.com/serralheria.portec, friendlyName=Facebook</x:v>
      </x:c>
      <x:c r="U103" s="20" t="str">
        <x:v>NÃO IDENTIFICADO</x:v>
      </x:c>
      <x:c r="V103" s="20" t="str">
        <x:v>NÃO IDENTIFICADO</x:v>
      </x:c>
      <x:c r="W103" s="20" t="str">
        <x:v>NÃO IDENTIFICADO</x:v>
      </x:c>
      <x:c r="X103" s="23" t="str">
        <x:v>Serralheria e estruturas metálicas (categoria pública; confirmar escopo diretamente).</x:v>
      </x:c>
      <x:c r="Y103" s="23" t="str">
        <x:v>Catálogo digital não identificado; ausência não confirmada. A captação pública encontrada privilegia telefone/diretório; há potencial de simplificar pedidos de orçamento.</x:v>
      </x:c>
      <x:c r="Z103" s="23" t="str">
        <x:v>Catálogo visual com pedido de orçamento. Formulário qualificado e integração com WhatsApp/CRM.</x:v>
      </x:c>
      <x:c r="AA103" s="23" t="str">
        <x:v>Apresentar um protótipo curto para serralherias, destacar portfólio e orçamento no celular, e pedir confirmação do processo atual antes de afirmar qualquer problema interno.</x:v>
      </x:c>
      <x:c r="AB103" s="23" t="str">
        <x:v>Nome, endereço e telefone publicados no diretório indicado em Fontes.</x:v>
      </x:c>
      <x:c r="AC103" s="35" t="n">
        <x:v>33</x:v>
      </x:c>
      <x:c r="AD103" s="23" t="str">
        <x:v>Prioridade D — Baixa</x:v>
      </x:c>
      <x:c r="AE103" s="23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103" s="23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103" s="23"/>
      <x:c r="AH103" s="23"/>
      <x:c r="AI103" s="38" t="d">
        <x:v>2026-10-18T15:00:00.000Z</x:v>
      </x:c>
      <x:c r="AJ103" s="20" t="str">
        <x:v>não contatado</x:v>
      </x:c>
      <x:c r="AK103" s="20" t="str"/>
      <x:c r="AL103" s="41"/>
      <x:c r="AM103" s="41"/>
    </x:row>
    <x:row r="104">
      <x:c r="A104" s="21" t="str">
        <x:v>cba62a54e115</x:v>
      </x:c>
      <x:c r="B104" s="21" t="str">
        <x:v>Serrralheria Alexandre</x:v>
      </x:c>
      <x:c r="C104" s="21" t="str">
        <x:v>Serralherias</x:v>
      </x:c>
      <x:c r="D104" s="24" t="str">
        <x:v>Rua Carlos Pavan, 66 - Londrina - PR</x:v>
      </x:c>
      <x:c r="E104" s="24" t="str">
        <x:v>NÃO IDENTIFICADO</x:v>
      </x:c>
      <x:c r="F104" s="21" t="str">
        <x:v>Londrina</x:v>
      </x:c>
      <x:c r="G104" s="21" t="str">
        <x:v>PR</x:v>
      </x:c>
      <x:c r="H104" s="21" t="str">
        <x:v>(43) 3327-4368</x:v>
      </x:c>
      <x:c r="I104" s="21" t="str">
        <x:v>NÃO IDENTIFICADO</x:v>
      </x:c>
      <x:c r="J104" s="21" t="str"/>
      <x:c r="K104" s="21" t="e">
        <x:f>HYPERLINK("https://www.google.com/maps/search/?api=1&amp;query=Serrralheria+Alexandre+Rua+Carlos+Pavan%2C+66+-+Londrina+-+PR","Abrir mapa")</x:f>
        <x:v>HYPERLINK is not implemented. linkLocation=https://www.google.com/maps/search/?api=1&amp;query=Serrralheria+Alexandre+Rua+Carlos+Pavan%2C+66+-+Londrina+-+PR, friendlyName=Abrir mapa</x:v>
      </x:c>
      <x:c r="L104" s="27"/>
      <x:c r="M104" s="30"/>
      <x:c r="N104" s="21"/>
      <x:c r="O104" s="21" t="str">
        <x:v>NÃO IDENTIFICADO</x:v>
      </x:c>
      <x:c r="P104" s="21" t="str">
        <x:v>NÃO APLICÁVEL</x:v>
      </x:c>
      <x:c r="Q104" s="33"/>
      <x:c r="R104" s="21" t="str">
        <x:v>NÃO IDENTIFICADA</x:v>
      </x:c>
      <x:c r="S104" s="21"/>
      <x:c r="T104" s="21"/>
      <x:c r="U104" s="21" t="str">
        <x:v>NÃO IDENTIFICADO</x:v>
      </x:c>
      <x:c r="V104" s="21" t="str">
        <x:v>NÃO IDENTIFICADO</x:v>
      </x:c>
      <x:c r="W104" s="21" t="str">
        <x:v>NÃO IDENTIFICADO</x:v>
      </x:c>
      <x:c r="X104" s="24" t="str">
        <x:v>Serralheria e estruturas metálicas (categoria pública; confirmar escopo diretamente).</x:v>
      </x:c>
      <x:c r="Y104" s="24" t="str">
        <x:v>Domínio próprio não identificado; confirmar antes da abordagem. Catálogo digital não identificado; ausência não confirmada. A captação pública encontrada privilegia telefone/diretório; há potencial de simplificar pedidos de orçamento.</x:v>
      </x:c>
      <x:c r="Z104" s="24" t="str">
        <x:v>Se confirmado, landing page/site institucional com portfólio. Catálogo visual com pedido de orçamento. Formulário qualificado e integração com WhatsApp/CRM.</x:v>
      </x:c>
      <x:c r="AA104" s="24" t="str">
        <x:v>Apresentar um protótipo curto para serralherias, destacar portfólio e orçamento no celular, e pedir confirmação do processo atual antes de afirmar qualquer problema interno.</x:v>
      </x:c>
      <x:c r="AB104" s="24" t="str">
        <x:v>Nome, endereço e telefone publicados no diretório indicado em Fontes.</x:v>
      </x:c>
      <x:c r="AC104" s="36" t="n">
        <x:v>33</x:v>
      </x:c>
      <x:c r="AD104" s="24" t="str">
        <x:v>Prioridade D — Baixa</x:v>
      </x:c>
      <x:c r="AE104" s="24" t="str">
        <x:v>0 ausência de site não confirmada; 0 ausência de catálogo não confirmada; 8 captação pública concentrada em contato direto; 5 listagem pública com contato e endereço; 10 protótipo reaproveitável no nicho; 10 telefone e endereço públicos verificados na fonte</x:v>
      </x:c>
      <x:c r="AF104" s="24" t="e">
        <x:f>HYPERLINK("https://www.encontralondrina.com.br/s/serralheria-em-londrina.shtml","Fonte 1")</x:f>
        <x:v>HYPERLINK is not implemented. linkLocation=https://www.encontralondrina.com.br/s/serralheria-em-londrina.shtml, friendlyName=Fonte 1</x:v>
      </x:c>
      <x:c r="AG104" s="24"/>
      <x:c r="AH104" s="24"/>
      <x:c r="AI104" s="39" t="d">
        <x:v>2026-10-18T15:00:00.000Z</x:v>
      </x:c>
      <x:c r="AJ104" s="21" t="str">
        <x:v>não contatado</x:v>
      </x:c>
      <x:c r="AK104" s="21" t="str"/>
      <x:c r="AL104" s="42"/>
      <x:c r="AM104" s="42"/>
    </x:row>
  </x:sheetData>
  <x:conditionalFormatting sqref="AC5:AC104">
    <x:cfRule type="colorScale" priority="1">
      <x:colorScale>
        <x:cfvo type="min"/>
        <x:cfvo type="percentile" val="50"/>
        <x:cfvo type="max"/>
        <x:color rgb="FFE8EEF0"/>
        <x:color rgb="FFFDE7A9"/>
        <x:color rgb="FFD66A50"/>
      </x:colorScale>
    </x:cfRule>
  </x:conditionalFormatting>
  <x:conditionalFormatting sqref="AD5:AD104">
    <x:cfRule type="containsText" dxfId="0" priority="2" operator="containsText" text="Prioridade A"/>
    <x:cfRule type="containsText" dxfId="1" priority="3" operator="containsText" text="Prioridade B"/>
    <x:cfRule type="containsText" dxfId="2" priority="4" operator="containsText" text="Prioridade C"/>
    <x:cfRule type="containsText" dxfId="3" priority="5" operator="containsText" text="Prioridade D"/>
  </x:conditionalFormatting>
  <x:pageMargins left="0.7" right="0.7" top="0.75" bottom="0.75" header="0.3" footer="0.3"/>
  <x:tableParts count="1">
    <x:tablePart xmlns:r="http://schemas.openxmlformats.org/officeDocument/2006/relationships" r:id="R926c5de74ae5459d"/>
  </x:tableParts>
</x:worksheet>
</file>

<file path=xl/worksheets/sheet2.xml><?xml version="1.0" encoding="utf-8"?>
<x:worksheet xmlns:x="http://schemas.openxmlformats.org/spreadsheetml/2006/main">
  <x:sheetPr>
    <x:tabColor rgb="FF0E7C7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4" hidden="0" customWidth="1"/>
    <x:col min="2" max="2" width="27" hidden="0" customWidth="1"/>
    <x:col min="3" max="3" width="24" hidden="0" customWidth="1"/>
    <x:col min="4" max="4" width="17" hidden="0" customWidth="1"/>
    <x:col min="5" max="5" width="18" hidden="0" customWidth="1"/>
    <x:col min="6" max="6" width="14" hidden="0" customWidth="1"/>
    <x:col min="7" max="7" width="14" hidden="0" customWidth="1"/>
    <x:col min="8" max="8" width="10" hidden="0" customWidth="1"/>
    <x:col min="9" max="9" width="24" hidden="0" customWidth="1"/>
    <x:col min="10" max="10" width="56" hidden="0" customWidth="1"/>
    <x:col min="11" max="11" width="50" hidden="0" customWidth="1"/>
    <x:col min="12" max="12" width="55" hidden="0" customWidth="1"/>
    <x:col min="13" max="13" width="14" hidden="0" customWidth="1"/>
    <x:col min="14" max="14" width="16" hidden="0" customWidth="1"/>
    <x:col min="15" max="15" width="14" hidden="0" customWidth="1"/>
  </x:cols>
  <x:sheetData>
    <x:row r="2">
      <x:c r="A2" s="6" t="str">
        <x:v>Leads prioritários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</x:row>
    <x:row r="3">
      <x:c r="A3" s="8" t="str">
        <x:v>Empresas com score igual ou superior a 60, ordenadas por pontuação.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</x:row>
    <x:row r="4" ht="34" customHeight="1">
      <x:c r="A4" s="15" t="str">
        <x:v>Empresa</x:v>
      </x:c>
      <x:c r="B4" s="16" t="str">
        <x:v>Nicho</x:v>
      </x:c>
      <x:c r="C4" s="16" t="str">
        <x:v>Bairro</x:v>
      </x:c>
      <x:c r="D4" s="16" t="str">
        <x:v>Telefone</x:v>
      </x:c>
      <x:c r="E4" s="16" t="str">
        <x:v>WhatsApp</x:v>
      </x:c>
      <x:c r="F4" s="16" t="str">
        <x:v>Site</x:v>
      </x:c>
      <x:c r="G4" s="16" t="str">
        <x:v>Instagram</x:v>
      </x:c>
      <x:c r="H4" s="16" t="str">
        <x:v>Score</x:v>
      </x:c>
      <x:c r="I4" s="16" t="str">
        <x:v>Prioridade</x:v>
      </x:c>
      <x:c r="J4" s="16" t="str">
        <x:v>Oportunidade principal</x:v>
      </x:c>
      <x:c r="K4" s="16" t="str">
        <x:v>Soluções recomendadas</x:v>
      </x:c>
      <x:c r="L4" s="16" t="str">
        <x:v>Abordagem sugerida</x:v>
      </x:c>
      <x:c r="M4" s="16" t="str">
        <x:v>Google Maps</x:v>
      </x:c>
      <x:c r="N4" s="16" t="str">
        <x:v>Data de verificação</x:v>
      </x:c>
      <x:c r="O4" s="17" t="str">
        <x:v>Fonte principal</x:v>
      </x:c>
    </x:row>
    <x:row r="5">
      <x:c r="A5" s="18" t="str">
        <x:v>MARMORARIA ELEGANCE</x:v>
      </x:c>
      <x:c r="B5" s="18" t="str">
        <x:v>Marmorarias</x:v>
      </x:c>
      <x:c r="C5" s="18" t="str">
        <x:v>Jardim Planalto</x:v>
      </x:c>
      <x:c r="D5" s="18" t="str">
        <x:v>(43) 99688-7266</x:v>
      </x:c>
      <x:c r="E5" s="18" t="str">
        <x:v>NÃO IDENTIFICADO</x:v>
      </x:c>
      <x:c r="F5" s="18"/>
      <x:c r="G5" s="18"/>
      <x:c r="H5" s="44" t="n">
        <x:v>68</x:v>
      </x:c>
      <x:c r="I5" s="18" t="str">
        <x:v>Prioridade B — Alta</x:v>
      </x:c>
      <x:c r="J5" s="4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K5" s="43" t="str">
        <x:v>Site institucional com portfólio e integração ao WhatsApp. Catálogo visual com pedido de orçamento. Formulário qualificado e integração com WhatsApp/CRM.</x:v>
      </x:c>
      <x:c r="L5" s="43" t="str">
        <x:v>Apresentar um protótipo curto para marmorarias, destacar portfólio e orçamento no celular, e pedir confirmação do processo atual antes de afirmar qualquer problema interno.</x:v>
      </x:c>
      <x:c r="M5" s="18" t="e">
        <x:f>HYPERLINK("https://www.google.com/maps/search/?api=1&amp;query=MARMORARIA+ELEGANCE+R.+Laurentina+Maria+de+Freitas%2C+230%2F240+-+Jardim+Planalto%2C+Londrina+-+PR%2C+86084-180","Abrir mapa")</x:f>
        <x:v>HYPERLINK is not implemented. linkLocation=https://www.google.com/maps/search/?api=1&amp;query=MARMORARIA+ELEGANCE+R.+Laurentina+Maria+de+Freitas%2C+230%2F240+-+Jardim+Planalto%2C+Londrina+-+PR%2C+86084-180, friendlyName=Abrir mapa</x:v>
      </x:c>
      <x:c r="N5" s="45" t="d">
        <x:v>2026-10-18T15:00:00.000Z</x:v>
      </x:c>
      <x:c r="O5" s="18" t="e">
        <x:f>HYPERLINK("https://marmorebrasil.com.br/londrina/","Fonte")</x:f>
        <x:v>HYPERLINK is not implemented. linkLocation=https://marmorebrasil.com.br/londrina/, friendlyName=Fonte</x:v>
      </x:c>
    </x:row>
    <x:row r="6">
      <x:c r="A6" s="18" t="str">
        <x:v>Marmoraria Siena - Marmoraria em Londrina</x:v>
      </x:c>
      <x:c r="B6" s="18" t="str">
        <x:v>Marmorarias</x:v>
      </x:c>
      <x:c r="C6" s="18" t="str">
        <x:v>Parque das Indústrias Leves</x:v>
      </x:c>
      <x:c r="D6" s="18" t="str">
        <x:v>(43) 98405-7320</x:v>
      </x:c>
      <x:c r="E6" s="18" t="str">
        <x:v>(43) 98405-7320</x:v>
      </x:c>
      <x:c r="F6" s="18"/>
      <x:c r="G6" s="18" t="e">
        <x:f>HYPERLINK("https://www.instagram.com/marmorariasienalondrina/?hl=pt-br","Instagram")</x:f>
        <x:v>HYPERLINK is not implemented. linkLocation=https://www.instagram.com/marmorariasienalondrina/?hl=pt-br, friendlyName=Instagram</x:v>
      </x:c>
      <x:c r="H6" s="44" t="n">
        <x:v>68</x:v>
      </x:c>
      <x:c r="I6" s="18" t="str">
        <x:v>Prioridade B — Alta</x:v>
      </x:c>
      <x:c r="J6" s="4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K6" s="43" t="str">
        <x:v>Site institucional com portfólio e integração ao WhatsApp. Catálogo visual com pedido de orçamento. Formulário qualificado e integração com WhatsApp/CRM.</x:v>
      </x:c>
      <x:c r="L6" s="43" t="str">
        <x:v>Apresentar um protótipo curto para marmorarias, destacar portfólio e orçamento no celular, e pedir confirmação do processo atual antes de afirmar qualquer problema interno.</x:v>
      </x:c>
      <x:c r="M6" s="18" t="e">
        <x:f>HYPERLINK("https://www.google.com/maps/search/?api=1&amp;query=Marmoraria+Siena+-+Marmoraria+em+Londrina+Tv.+Dalva+de+Oliveira%2C+1101+-+Parque+das+Ind%C3%BAstrias+Leves%2C+Londrina+-+PR%2C+86030-370","Abrir mapa")</x:f>
        <x:v>HYPERLINK is not implemented. linkLocation=https://www.google.com/maps/search/?api=1&amp;query=Marmoraria+Siena+-+Marmoraria+em+Londrina+Tv.+Dalva+de+Oliveira%2C+1101+-+Parque+das+Ind%C3%BAstrias+Leves%2C+Londrina+-+PR%2C+86030-370, friendlyName=Abrir mapa</x:v>
      </x:c>
      <x:c r="N6" s="45" t="d">
        <x:v>2026-10-18T15:00:00.000Z</x:v>
      </x:c>
      <x:c r="O6" s="18" t="e">
        <x:f>HYPERLINK("https://marmorebrasil.com.br/londrina/","Fonte")</x:f>
        <x:v>HYPERLINK is not implemented. linkLocation=https://marmorebrasil.com.br/londrina/, friendlyName=Fonte</x:v>
      </x:c>
    </x:row>
    <x:row r="7">
      <x:c r="A7" s="18" t="str">
        <x:v>Graniart Marmoraria</x:v>
      </x:c>
      <x:c r="B7" s="18" t="str">
        <x:v>Marmorarias</x:v>
      </x:c>
      <x:c r="C7" s="18" t="str">
        <x:v>Portal de Versalhes I</x:v>
      </x:c>
      <x:c r="D7" s="18" t="str">
        <x:v>(43) 3343-3506</x:v>
      </x:c>
      <x:c r="E7" s="18" t="str">
        <x:v>NÃO IDENTIFICADO</x:v>
      </x:c>
      <x:c r="F7" s="18"/>
      <x:c r="G7" s="18"/>
      <x:c r="H7" s="44" t="n">
        <x:v>65</x:v>
      </x:c>
      <x:c r="I7" s="18" t="str">
        <x:v>Prioridade B — Alta</x:v>
      </x:c>
      <x:c r="J7" s="4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K7" s="43" t="str">
        <x:v>Site institucional com portfólio e integração ao WhatsApp. Catálogo visual com pedido de orçamento. Formulário qualificado e integração com WhatsApp/CRM.</x:v>
      </x:c>
      <x:c r="L7" s="43" t="str">
        <x:v>Apresentar um protótipo curto para marmorarias, destacar portfólio e orçamento no celular, e pedir confirmação do processo atual antes de afirmar qualquer problema interno.</x:v>
      </x:c>
      <x:c r="M7" s="18" t="e">
        <x:f>HYPERLINK("https://www.google.com/maps/search/?api=1&amp;query=Graniart+Marmoraria+R.+Augusto+Guerino%2C+123+Jardim+-+Portal+de+Versalhes+I%2C+Londrina+-+PR%2C+86057-240","Abrir mapa")</x:f>
        <x:v>HYPERLINK is not implemented. linkLocation=https://www.google.com/maps/search/?api=1&amp;query=Graniart+Marmoraria+R.+Augusto+Guerino%2C+123+Jardim+-+Portal+de+Versalhes+I%2C+Londrina+-+PR%2C+86057-240, friendlyName=Abrir mapa</x:v>
      </x:c>
      <x:c r="N7" s="45" t="d">
        <x:v>2026-10-18T15:00:00.000Z</x:v>
      </x:c>
      <x:c r="O7" s="18" t="e">
        <x:f>HYPERLINK("https://marmorebrasil.com.br/londrina/","Fonte")</x:f>
        <x:v>HYPERLINK is not implemented. linkLocation=https://marmorebrasil.com.br/londrina/, friendlyName=Fonte</x:v>
      </x:c>
    </x:row>
    <x:row r="8">
      <x:c r="A8" s="18" t="str">
        <x:v>Marmoraria Classe A</x:v>
      </x:c>
      <x:c r="B8" s="18" t="str">
        <x:v>Marmorarias</x:v>
      </x:c>
      <x:c r="C8" s="18" t="str">
        <x:v>Lago Igapó</x:v>
      </x:c>
      <x:c r="D8" s="18" t="str">
        <x:v>(43) 3343-3298</x:v>
      </x:c>
      <x:c r="E8" s="18" t="str">
        <x:v>(43) 99995-1781</x:v>
      </x:c>
      <x:c r="F8" s="18"/>
      <x:c r="G8" s="18"/>
      <x:c r="H8" s="44" t="n">
        <x:v>65</x:v>
      </x:c>
      <x:c r="I8" s="18" t="str">
        <x:v>Prioridade B — Alta</x:v>
      </x:c>
      <x:c r="J8" s="4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K8" s="43" t="str">
        <x:v>Site institucional com portfólio e integração ao WhatsApp. Catálogo visual com pedido de orçamento. Formulário qualificado e integração com WhatsApp/CRM.</x:v>
      </x:c>
      <x:c r="L8" s="43" t="str">
        <x:v>Apresentar um protótipo curto para marmorarias, destacar portfólio e orçamento no celular, e pedir confirmação do processo atual antes de afirmar qualquer problema interno.</x:v>
      </x:c>
      <x:c r="M8" s="18" t="e">
        <x:f>HYPERLINK("https://www.google.com/maps/search/?api=1&amp;query=Marmoraria+Classe+A+Av.+Dez+de+Dezembro+-+Lago+Igap%C3%B3%2C+Londrina+-+PR","Abrir mapa")</x:f>
        <x:v>HYPERLINK is not implemented. linkLocation=https://www.google.com/maps/search/?api=1&amp;query=Marmoraria+Classe+A+Av.+Dez+de+Dezembro+-+Lago+Igap%C3%B3%2C+Londrina+-+PR, friendlyName=Abrir mapa</x:v>
      </x:c>
      <x:c r="N8" s="45" t="d">
        <x:v>2026-10-18T15:00:00.000Z</x:v>
      </x:c>
      <x:c r="O8" s="18" t="e">
        <x:f>HYPERLINK("https://marmorebrasil.com.br/londrina/","Fonte")</x:f>
        <x:v>HYPERLINK is not implemented. linkLocation=https://marmorebrasil.com.br/londrina/, friendlyName=Fonte</x:v>
      </x:c>
    </x:row>
    <x:row r="9">
      <x:c r="A9" s="18" t="str">
        <x:v>Marmoraria Revestindo Londrina</x:v>
      </x:c>
      <x:c r="B9" s="18" t="str">
        <x:v>Marmorarias</x:v>
      </x:c>
      <x:c r="C9" s="18" t="str">
        <x:v>Parque das Indústrias Leves</x:v>
      </x:c>
      <x:c r="D9" s="18" t="str">
        <x:v>(43) 99179-5748</x:v>
      </x:c>
      <x:c r="E9" s="18" t="str">
        <x:v>NÃO IDENTIFICADO</x:v>
      </x:c>
      <x:c r="F9" s="18"/>
      <x:c r="G9" s="18" t="e">
        <x:f>HYPERLINK("https://www.instagram.com/revestindolondrina1/","Instagram")</x:f>
        <x:v>HYPERLINK is not implemented. linkLocation=https://www.instagram.com/revestindolondrina1/, friendlyName=Instagram</x:v>
      </x:c>
      <x:c r="H9" s="44" t="n">
        <x:v>65</x:v>
      </x:c>
      <x:c r="I9" s="18" t="str">
        <x:v>Prioridade B — Alta</x:v>
      </x:c>
      <x:c r="J9" s="43" t="str">
        <x:v>Ausência de domínio próprio confirmada nas verificações registradas. Catálogo digital não identificado; ausência não confirmada. A captação pública encontrada privilegia telefone/diretório; há potencial de simplificar pedidos de orçamento.</x:v>
      </x:c>
      <x:c r="K9" s="43" t="str">
        <x:v>Site institucional com portfólio e integração ao WhatsApp. Catálogo visual com pedido de orçamento. Formulário qualificado e integração com WhatsApp/CRM.</x:v>
      </x:c>
      <x:c r="L9" s="43" t="str">
        <x:v>Apresentar um protótipo curto para marmorarias, destacar portfólio e orçamento no celular, e pedir confirmação do processo atual antes de afirmar qualquer problema interno.</x:v>
      </x:c>
      <x:c r="M9" s="18" t="e">
        <x:f>HYPERLINK("https://www.google.com/maps/search/?api=1&amp;query=Marmoraria+Revestindo+Londrina+R.+do+Pav%C3%A3o%2C+255+-+Parque+das+Ind%C3%BAstrias+Leves%2C+Londrina+-+PR%2C+86030-360","Abrir mapa")</x:f>
        <x:v>HYPERLINK is not implemented. linkLocation=https://www.google.com/maps/search/?api=1&amp;query=Marmoraria+Revestindo+Londrina+R.+do+Pav%C3%A3o%2C+255+-+Parque+das+Ind%C3%BAstrias+Leves%2C+Londrina+-+PR%2C+86030-360, friendlyName=Abrir mapa</x:v>
      </x:c>
      <x:c r="N9" s="45" t="d">
        <x:v>2026-10-18T15:00:00.000Z</x:v>
      </x:c>
      <x:c r="O9" s="18" t="e">
        <x:f>HYPERLINK("https://marmorebrasil.com.br/londrina/","Fonte")</x:f>
        <x:v>HYPERLINK is not implemented. linkLocation=https://marmorebrasil.com.br/londrina/, friendlyName=Fonte</x:v>
      </x:c>
    </x:row>
  </x:sheetData>
  <x:conditionalFormatting sqref="I5:I9">
    <x:cfRule type="containsText" dxfId="4" priority="1" operator="containsText" text="Prioridade B"/>
  </x:conditionalFormatting>
  <x:pageMargins left="0.7" right="0.7" top="0.75" bottom="0.75" header="0.3" footer="0.3"/>
  <x:tableParts count="1">
    <x:tablePart xmlns:r="http://schemas.openxmlformats.org/officeDocument/2006/relationships" r:id="R2347c71560d84165"/>
  </x:tableParts>
</x:worksheet>
</file>

<file path=xl/worksheets/sheet3.xml><?xml version="1.0" encoding="utf-8"?>
<x:worksheet xmlns:x="http://schemas.openxmlformats.org/spreadsheetml/2006/main">
  <x:sheetPr>
    <x:tabColor rgb="FF123B4A"/>
  </x:sheetPr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9" hidden="0" customWidth="1"/>
    <x:col min="4" max="4" width="17" hidden="0" customWidth="1"/>
    <x:col min="5" max="5" width="19" hidden="0" customWidth="1"/>
    <x:col min="6" max="6" width="22" hidden="0" customWidth="1"/>
    <x:col min="7" max="7" width="14" hidden="0" customWidth="1"/>
    <x:col min="8" max="8" width="52" hidden="0" customWidth="1"/>
  </x:cols>
  <x:sheetData>
    <x:row r="2">
      <x:c r="A2" s="1" t="str">
        <x:v>Resumo por nicho</x:v>
      </x:c>
    </x:row>
    <x:row r="3">
      <x:c r="A3" s="2" t="str">
        <x:v>Indicadores calculados a partir da aba Todos os Leads.</x:v>
      </x:c>
    </x:row>
    <x:row r="4" ht="34" customHeight="1">
      <x:c r="A4" s="48" t="str">
        <x:v>Nicho</x:v>
      </x:c>
      <x:c r="B4" s="49" t="str">
        <x:v>Empresas</x:v>
      </x:c>
      <x:c r="C4" s="49" t="str">
        <x:v>Leads prioritários</x:v>
      </x:c>
      <x:c r="D4" s="49" t="str">
        <x:v>Site confirmado</x:v>
      </x:c>
      <x:c r="E4" s="49" t="str">
        <x:v>Sem site confirmado</x:v>
      </x:c>
      <x:c r="F4" s="49" t="str">
        <x:v>Site não identificado</x:v>
      </x:c>
      <x:c r="G4" s="49" t="str">
        <x:v>Score médio</x:v>
      </x:c>
      <x:c r="H4" s="50" t="str">
        <x:v>Principais oportunidades</x:v>
      </x:c>
    </x:row>
    <x:row r="5">
      <x:c r="A5" s="20" t="str">
        <x:v>Marmorarias</x:v>
      </x:c>
      <x:c r="B5" s="32" t="n">
        <x:f>COUNTIF('Todos os Leads'!$C$5:$C$104,A5)</x:f>
        <x:v>20</x:v>
      </x:c>
      <x:c r="C5" s="32" t="n">
        <x:f>COUNTIFS('Todos os Leads'!$C$5:$C$104,A5,'Todos os Leads'!$AC$5:$AC$104,"&gt;=60")</x:f>
        <x:v>5</x:v>
      </x:c>
      <x:c r="D5" s="32" t="n">
        <x:f>COUNTIFS('Todos os Leads'!$C$5:$C$104,A5,'Todos os Leads'!$O$5:$O$104,"SIM")</x:f>
        <x:v>15</x:v>
      </x:c>
      <x:c r="E5" s="32" t="n">
        <x:f>COUNTIFS('Todos os Leads'!$C$5:$C$104,A5,'Todos os Leads'!$O$5:$O$104,"NÃO")</x:f>
        <x:v>5</x:v>
      </x:c>
      <x:c r="F5" s="32" t="n">
        <x:f>COUNTIFS('Todos os Leads'!$C$5:$C$104,A5,'Todos os Leads'!$O$5:$O$104,"NÃO IDENTIFICADO")</x:f>
        <x:v>0</x:v>
      </x:c>
      <x:c r="G5" s="26" t="n">
        <x:f>AVERAGEIF('Todos os Leads'!$C$5:$C$104,A5,'Todos os Leads'!$AC$5:$AC$104)</x:f>
        <x:v>48.5</x:v>
      </x:c>
      <x:c r="H5" s="23" t="str">
        <x:v>Site/portfólio e orçamento visual</x:v>
      </x:c>
    </x:row>
    <x:row r="6">
      <x:c r="A6" s="20" t="str">
        <x:v>Vidraçarias</x:v>
      </x:c>
      <x:c r="B6" s="32" t="n">
        <x:f>COUNTIF('Todos os Leads'!$C$5:$C$104,A6)</x:f>
        <x:v>20</x:v>
      </x:c>
      <x:c r="C6" s="32" t="n">
        <x:f>COUNTIFS('Todos os Leads'!$C$5:$C$104,A6,'Todos os Leads'!$AC$5:$AC$104,"&gt;=60")</x:f>
        <x:v>0</x:v>
      </x:c>
      <x:c r="D6" s="32" t="n">
        <x:f>COUNTIFS('Todos os Leads'!$C$5:$C$104,A6,'Todos os Leads'!$O$5:$O$104,"SIM")</x:f>
        <x:v>0</x:v>
      </x:c>
      <x:c r="E6" s="32" t="n">
        <x:f>COUNTIFS('Todos os Leads'!$C$5:$C$104,A6,'Todos os Leads'!$O$5:$O$104,"NÃO")</x:f>
        <x:v>0</x:v>
      </x:c>
      <x:c r="F6" s="32" t="n">
        <x:f>COUNTIFS('Todos os Leads'!$C$5:$C$104,A6,'Todos os Leads'!$O$5:$O$104,"NÃO IDENTIFICADO")</x:f>
        <x:v>20</x:v>
      </x:c>
      <x:c r="G6" s="26" t="n">
        <x:f>AVERAGEIF('Todos os Leads'!$C$5:$C$104,A6,'Todos os Leads'!$AC$5:$AC$104)</x:f>
        <x:v>33</x:v>
      </x:c>
      <x:c r="H6" s="23" t="str">
        <x:v>Catálogo de projetos e solicitação de orçamento</x:v>
      </x:c>
    </x:row>
    <x:row r="7">
      <x:c r="A7" s="20" t="str">
        <x:v>Marcenarias e móveis planejados</x:v>
      </x:c>
      <x:c r="B7" s="32" t="n">
        <x:f>COUNTIF('Todos os Leads'!$C$5:$C$104,A7)</x:f>
        <x:v>20</x:v>
      </x:c>
      <x:c r="C7" s="32" t="n">
        <x:f>COUNTIFS('Todos os Leads'!$C$5:$C$104,A7,'Todos os Leads'!$AC$5:$AC$104,"&gt;=60")</x:f>
        <x:v>0</x:v>
      </x:c>
      <x:c r="D7" s="32" t="n">
        <x:f>COUNTIFS('Todos os Leads'!$C$5:$C$104,A7,'Todos os Leads'!$O$5:$O$104,"SIM")</x:f>
        <x:v>0</x:v>
      </x:c>
      <x:c r="E7" s="32" t="n">
        <x:f>COUNTIFS('Todos os Leads'!$C$5:$C$104,A7,'Todos os Leads'!$O$5:$O$104,"NÃO")</x:f>
        <x:v>0</x:v>
      </x:c>
      <x:c r="F7" s="32" t="n">
        <x:f>COUNTIFS('Todos os Leads'!$C$5:$C$104,A7,'Todos os Leads'!$O$5:$O$104,"NÃO IDENTIFICADO")</x:f>
        <x:v>20</x:v>
      </x:c>
      <x:c r="G7" s="26" t="n">
        <x:f>AVERAGEIF('Todos os Leads'!$C$5:$C$104,A7,'Todos os Leads'!$AC$5:$AC$104)</x:f>
        <x:v>33</x:v>
      </x:c>
      <x:c r="H7" s="23" t="str">
        <x:v>Portfólio de ambientes e qualificação de orçamento</x:v>
      </x:c>
    </x:row>
    <x:row r="8">
      <x:c r="A8" s="20" t="str">
        <x:v>Oficinas mecânicas</x:v>
      </x:c>
      <x:c r="B8" s="32" t="n">
        <x:f>COUNTIF('Todos os Leads'!$C$5:$C$104,A8)</x:f>
        <x:v>20</x:v>
      </x:c>
      <x:c r="C8" s="32" t="n">
        <x:f>COUNTIFS('Todos os Leads'!$C$5:$C$104,A8,'Todos os Leads'!$AC$5:$AC$104,"&gt;=60")</x:f>
        <x:v>0</x:v>
      </x:c>
      <x:c r="D8" s="32" t="n">
        <x:f>COUNTIFS('Todos os Leads'!$C$5:$C$104,A8,'Todos os Leads'!$O$5:$O$104,"SIM")</x:f>
        <x:v>0</x:v>
      </x:c>
      <x:c r="E8" s="32" t="n">
        <x:f>COUNTIFS('Todos os Leads'!$C$5:$C$104,A8,'Todos os Leads'!$O$5:$O$104,"NÃO")</x:f>
        <x:v>0</x:v>
      </x:c>
      <x:c r="F8" s="32" t="n">
        <x:f>COUNTIFS('Todos os Leads'!$C$5:$C$104,A8,'Todos os Leads'!$O$5:$O$104,"NÃO IDENTIFICADO")</x:f>
        <x:v>20</x:v>
      </x:c>
      <x:c r="G8" s="26" t="n">
        <x:f>AVERAGEIF('Todos os Leads'!$C$5:$C$104,A8,'Todos os Leads'!$AC$5:$AC$104)</x:f>
        <x:v>33</x:v>
      </x:c>
      <x:c r="H8" s="23" t="str">
        <x:v>Agendamento, pré-triagem e lembretes</x:v>
      </x:c>
    </x:row>
    <x:row r="9">
      <x:c r="A9" s="21" t="str">
        <x:v>Serralherias</x:v>
      </x:c>
      <x:c r="B9" s="33" t="n">
        <x:f>COUNTIF('Todos os Leads'!$C$5:$C$104,A9)</x:f>
        <x:v>20</x:v>
      </x:c>
      <x:c r="C9" s="33" t="n">
        <x:f>COUNTIFS('Todos os Leads'!$C$5:$C$104,A9,'Todos os Leads'!$AC$5:$AC$104,"&gt;=60")</x:f>
        <x:v>0</x:v>
      </x:c>
      <x:c r="D9" s="33" t="n">
        <x:f>COUNTIFS('Todos os Leads'!$C$5:$C$104,A9,'Todos os Leads'!$O$5:$O$104,"SIM")</x:f>
        <x:v>2</x:v>
      </x:c>
      <x:c r="E9" s="33" t="n">
        <x:f>COUNTIFS('Todos os Leads'!$C$5:$C$104,A9,'Todos os Leads'!$O$5:$O$104,"NÃO")</x:f>
        <x:v>0</x:v>
      </x:c>
      <x:c r="F9" s="33" t="n">
        <x:f>COUNTIFS('Todos os Leads'!$C$5:$C$104,A9,'Todos os Leads'!$O$5:$O$104,"NÃO IDENTIFICADO")</x:f>
        <x:v>18</x:v>
      </x:c>
      <x:c r="G9" s="27" t="n">
        <x:f>AVERAGEIF('Todos os Leads'!$C$5:$C$104,A9,'Todos os Leads'!$AC$5:$AC$104)</x:f>
        <x:v>33</x:v>
      </x:c>
      <x:c r="H9" s="24" t="str">
        <x:v>Portfólio por tipo de estrutura e orçamento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E7C7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24" hidden="0" customWidth="1"/>
    <x:col min="5" max="5" width="25" hidden="0" customWidth="1"/>
    <x:col min="6" max="6" width="20" hidden="0" customWidth="1"/>
    <x:col min="7" max="7" width="16" hidden="0" customWidth="1"/>
    <x:col min="8" max="8" width="34" hidden="0" customWidth="1"/>
    <x:col min="9" max="9" width="18" hidden="0" customWidth="1"/>
    <x:col min="10" max="10" width="45" hidden="0" customWidth="1"/>
  </x:cols>
  <x:sheetData>
    <x:row r="2">
      <x:c r="A2" s="1" t="str">
        <x:v>Prospecção comercial</x:v>
      </x:c>
    </x:row>
    <x:row r="3">
      <x:c r="A3" s="2" t="str">
        <x:v>Preencha os campos em amarelo. Esta aba é um acompanhamento manual e não é atualizada pelo dashboard HTML.</x:v>
      </x:c>
    </x:row>
    <x:row r="4" ht="34" customHeight="1">
      <x:c r="A4" s="15" t="str">
        <x:v>Empresa</x:v>
      </x:c>
      <x:c r="B4" s="16" t="str">
        <x:v>Nicho</x:v>
      </x:c>
      <x:c r="C4" s="16" t="str">
        <x:v>Score</x:v>
      </x:c>
      <x:c r="D4" s="16" t="str">
        <x:v>Prioridade</x:v>
      </x:c>
      <x:c r="E4" s="16" t="str">
        <x:v>Responsável pela abordagem</x:v>
      </x:c>
      <x:c r="F4" s="16" t="str">
        <x:v>Status</x:v>
      </x:c>
      <x:c r="G4" s="16" t="str">
        <x:v>Data do contato</x:v>
      </x:c>
      <x:c r="H4" s="16" t="str">
        <x:v>Próxima ação</x:v>
      </x:c>
      <x:c r="I4" s="16" t="str">
        <x:v>Valor proposto</x:v>
      </x:c>
      <x:c r="J4" s="17" t="str">
        <x:v>Observações</x:v>
      </x:c>
    </x:row>
    <x:row r="5">
      <x:c r="A5" s="18" t="str">
        <x:f>'Todos os Leads'!B5</x:f>
        <x:v>MARMORARIA ELEGANCE</x:v>
      </x:c>
      <x:c r="B5" s="18" t="str">
        <x:f>'Todos os Leads'!C5</x:f>
        <x:v>Marmorarias</x:v>
      </x:c>
      <x:c r="C5" s="44" t="n">
        <x:f>'Todos os Leads'!AC5</x:f>
        <x:v>68</x:v>
      </x:c>
      <x:c r="D5" s="18" t="str">
        <x:f>'Todos os Leads'!AD5</x:f>
        <x:v>Prioridade B — Alta</x:v>
      </x:c>
      <x:c r="E5" s="53" t="str"/>
      <x:c r="F5" s="53" t="str">
        <x:v>não contatado</x:v>
      </x:c>
      <x:c r="G5" s="55" t="str"/>
      <x:c r="H5" s="53" t="str"/>
      <x:c r="I5" s="56"/>
      <x:c r="J5" s="54" t="str"/>
    </x:row>
    <x:row r="6">
      <x:c r="A6" s="18" t="str">
        <x:f>'Todos os Leads'!B6</x:f>
        <x:v>Marmoraria Siena - Marmoraria em Londrina</x:v>
      </x:c>
      <x:c r="B6" s="18" t="str">
        <x:f>'Todos os Leads'!C6</x:f>
        <x:v>Marmorarias</x:v>
      </x:c>
      <x:c r="C6" s="44" t="n">
        <x:f>'Todos os Leads'!AC6</x:f>
        <x:v>68</x:v>
      </x:c>
      <x:c r="D6" s="18" t="str">
        <x:f>'Todos os Leads'!AD6</x:f>
        <x:v>Prioridade B — Alta</x:v>
      </x:c>
      <x:c r="E6" s="53" t="str"/>
      <x:c r="F6" s="53" t="str">
        <x:v>não contatado</x:v>
      </x:c>
      <x:c r="G6" s="55" t="str"/>
      <x:c r="H6" s="53" t="str"/>
      <x:c r="I6" s="56"/>
      <x:c r="J6" s="54" t="str"/>
    </x:row>
    <x:row r="7">
      <x:c r="A7" s="18" t="str">
        <x:f>'Todos os Leads'!B7</x:f>
        <x:v>Graniart Marmoraria</x:v>
      </x:c>
      <x:c r="B7" s="18" t="str">
        <x:f>'Todos os Leads'!C7</x:f>
        <x:v>Marmorarias</x:v>
      </x:c>
      <x:c r="C7" s="44" t="n">
        <x:f>'Todos os Leads'!AC7</x:f>
        <x:v>65</x:v>
      </x:c>
      <x:c r="D7" s="18" t="str">
        <x:f>'Todos os Leads'!AD7</x:f>
        <x:v>Prioridade B — Alta</x:v>
      </x:c>
      <x:c r="E7" s="53" t="str"/>
      <x:c r="F7" s="53" t="str">
        <x:v>não contatado</x:v>
      </x:c>
      <x:c r="G7" s="55" t="str"/>
      <x:c r="H7" s="53" t="str"/>
      <x:c r="I7" s="56"/>
      <x:c r="J7" s="54" t="str"/>
    </x:row>
    <x:row r="8">
      <x:c r="A8" s="18" t="str">
        <x:f>'Todos os Leads'!B8</x:f>
        <x:v>Marmoraria Classe A</x:v>
      </x:c>
      <x:c r="B8" s="18" t="str">
        <x:f>'Todos os Leads'!C8</x:f>
        <x:v>Marmorarias</x:v>
      </x:c>
      <x:c r="C8" s="44" t="n">
        <x:f>'Todos os Leads'!AC8</x:f>
        <x:v>65</x:v>
      </x:c>
      <x:c r="D8" s="18" t="str">
        <x:f>'Todos os Leads'!AD8</x:f>
        <x:v>Prioridade B — Alta</x:v>
      </x:c>
      <x:c r="E8" s="53" t="str"/>
      <x:c r="F8" s="53" t="str">
        <x:v>não contatado</x:v>
      </x:c>
      <x:c r="G8" s="55" t="str"/>
      <x:c r="H8" s="53" t="str"/>
      <x:c r="I8" s="56"/>
      <x:c r="J8" s="54" t="str"/>
    </x:row>
    <x:row r="9">
      <x:c r="A9" s="18" t="str">
        <x:f>'Todos os Leads'!B9</x:f>
        <x:v>Marmoraria Revestindo Londrina</x:v>
      </x:c>
      <x:c r="B9" s="18" t="str">
        <x:f>'Todos os Leads'!C9</x:f>
        <x:v>Marmorarias</x:v>
      </x:c>
      <x:c r="C9" s="44" t="n">
        <x:f>'Todos os Leads'!AC9</x:f>
        <x:v>65</x:v>
      </x:c>
      <x:c r="D9" s="18" t="str">
        <x:f>'Todos os Leads'!AD9</x:f>
        <x:v>Prioridade B — Alta</x:v>
      </x:c>
      <x:c r="E9" s="53" t="str"/>
      <x:c r="F9" s="53" t="str">
        <x:v>não contatado</x:v>
      </x:c>
      <x:c r="G9" s="55" t="str"/>
      <x:c r="H9" s="53" t="str"/>
      <x:c r="I9" s="56"/>
      <x:c r="J9" s="54" t="str"/>
    </x:row>
    <x:row r="10">
      <x:c r="A10" s="18" t="str">
        <x:f>'Todos os Leads'!B10</x:f>
        <x:v>Aduetto Marmoraria</x:v>
      </x:c>
      <x:c r="B10" s="18" t="str">
        <x:f>'Todos os Leads'!C10</x:f>
        <x:v>Marmorarias</x:v>
      </x:c>
      <x:c r="C10" s="44" t="n">
        <x:f>'Todos os Leads'!AC10</x:f>
        <x:v>43</x:v>
      </x:c>
      <x:c r="D10" s="18" t="str">
        <x:f>'Todos os Leads'!AD10</x:f>
        <x:v>Prioridade C — Média</x:v>
      </x:c>
      <x:c r="E10" s="53" t="str"/>
      <x:c r="F10" s="53" t="str">
        <x:v>não contatado</x:v>
      </x:c>
      <x:c r="G10" s="55" t="str"/>
      <x:c r="H10" s="53" t="str"/>
      <x:c r="I10" s="56"/>
      <x:c r="J10" s="54" t="str"/>
    </x:row>
    <x:row r="11">
      <x:c r="A11" s="18" t="str">
        <x:f>'Todos os Leads'!B11</x:f>
        <x:v>Belgram Mármores e Granitos</x:v>
      </x:c>
      <x:c r="B11" s="18" t="str">
        <x:f>'Todos os Leads'!C11</x:f>
        <x:v>Marmorarias</x:v>
      </x:c>
      <x:c r="C11" s="44" t="n">
        <x:f>'Todos os Leads'!AC11</x:f>
        <x:v>43</x:v>
      </x:c>
      <x:c r="D11" s="18" t="str">
        <x:f>'Todos os Leads'!AD11</x:f>
        <x:v>Prioridade C — Média</x:v>
      </x:c>
      <x:c r="E11" s="53" t="str"/>
      <x:c r="F11" s="53" t="str">
        <x:v>não contatado</x:v>
      </x:c>
      <x:c r="G11" s="55" t="str"/>
      <x:c r="H11" s="53" t="str"/>
      <x:c r="I11" s="56"/>
      <x:c r="J11" s="54" t="str"/>
    </x:row>
    <x:row r="12">
      <x:c r="A12" s="18" t="str">
        <x:f>'Todos os Leads'!B12</x:f>
        <x:v>Euromar Mármores e Granitos - Distribuidora Atacadista</x:v>
      </x:c>
      <x:c r="B12" s="18" t="str">
        <x:f>'Todos os Leads'!C12</x:f>
        <x:v>Marmorarias</x:v>
      </x:c>
      <x:c r="C12" s="44" t="n">
        <x:f>'Todos os Leads'!AC12</x:f>
        <x:v>43</x:v>
      </x:c>
      <x:c r="D12" s="18" t="str">
        <x:f>'Todos os Leads'!AD12</x:f>
        <x:v>Prioridade C — Média</x:v>
      </x:c>
      <x:c r="E12" s="53" t="str"/>
      <x:c r="F12" s="53" t="str">
        <x:v>não contatado</x:v>
      </x:c>
      <x:c r="G12" s="55" t="str"/>
      <x:c r="H12" s="53" t="str"/>
      <x:c r="I12" s="56"/>
      <x:c r="J12" s="54" t="str"/>
    </x:row>
    <x:row r="13">
      <x:c r="A13" s="18" t="str">
        <x:f>'Todos os Leads'!B13</x:f>
        <x:v>Fábrica - Aliança Mármores</x:v>
      </x:c>
      <x:c r="B13" s="18" t="str">
        <x:f>'Todos os Leads'!C13</x:f>
        <x:v>Marmorarias</x:v>
      </x:c>
      <x:c r="C13" s="44" t="n">
        <x:f>'Todos os Leads'!AC13</x:f>
        <x:v>43</x:v>
      </x:c>
      <x:c r="D13" s="18" t="str">
        <x:f>'Todos os Leads'!AD13</x:f>
        <x:v>Prioridade C — Média</x:v>
      </x:c>
      <x:c r="E13" s="53" t="str"/>
      <x:c r="F13" s="53" t="str">
        <x:v>não contatado</x:v>
      </x:c>
      <x:c r="G13" s="55" t="str"/>
      <x:c r="H13" s="53" t="str"/>
      <x:c r="I13" s="56"/>
      <x:c r="J13" s="54" t="str"/>
    </x:row>
    <x:row r="14">
      <x:c r="A14" s="18" t="str">
        <x:f>'Todos os Leads'!B14</x:f>
        <x:v>Gilmármore Marmoraria - Showroom</x:v>
      </x:c>
      <x:c r="B14" s="18" t="str">
        <x:f>'Todos os Leads'!C14</x:f>
        <x:v>Marmorarias</x:v>
      </x:c>
      <x:c r="C14" s="44" t="n">
        <x:f>'Todos os Leads'!AC14</x:f>
        <x:v>43</x:v>
      </x:c>
      <x:c r="D14" s="18" t="str">
        <x:f>'Todos os Leads'!AD14</x:f>
        <x:v>Prioridade C — Média</x:v>
      </x:c>
      <x:c r="E14" s="53" t="str"/>
      <x:c r="F14" s="53" t="str">
        <x:v>não contatado</x:v>
      </x:c>
      <x:c r="G14" s="55" t="str"/>
      <x:c r="H14" s="53" t="str"/>
      <x:c r="I14" s="56"/>
      <x:c r="J14" s="54" t="str"/>
    </x:row>
    <x:row r="15">
      <x:c r="A15" s="18" t="str">
        <x:f>'Todos os Leads'!B15</x:f>
        <x:v>Gram Mar Marmoraria</x:v>
      </x:c>
      <x:c r="B15" s="18" t="str">
        <x:f>'Todos os Leads'!C15</x:f>
        <x:v>Marmorarias</x:v>
      </x:c>
      <x:c r="C15" s="44" t="n">
        <x:f>'Todos os Leads'!AC15</x:f>
        <x:v>43</x:v>
      </x:c>
      <x:c r="D15" s="18" t="str">
        <x:f>'Todos os Leads'!AD15</x:f>
        <x:v>Prioridade C — Média</x:v>
      </x:c>
      <x:c r="E15" s="53" t="str"/>
      <x:c r="F15" s="53" t="str">
        <x:v>não contatado</x:v>
      </x:c>
      <x:c r="G15" s="55" t="str"/>
      <x:c r="H15" s="53" t="str"/>
      <x:c r="I15" s="56"/>
      <x:c r="J15" s="54" t="str"/>
    </x:row>
    <x:row r="16">
      <x:c r="A16" s="18" t="str">
        <x:f>'Todos os Leads'!B16</x:f>
        <x:v>Império do Mármore</x:v>
      </x:c>
      <x:c r="B16" s="18" t="str">
        <x:f>'Todos os Leads'!C16</x:f>
        <x:v>Marmorarias</x:v>
      </x:c>
      <x:c r="C16" s="44" t="n">
        <x:f>'Todos os Leads'!AC16</x:f>
        <x:v>43</x:v>
      </x:c>
      <x:c r="D16" s="18" t="str">
        <x:f>'Todos os Leads'!AD16</x:f>
        <x:v>Prioridade C — Média</x:v>
      </x:c>
      <x:c r="E16" s="53" t="str"/>
      <x:c r="F16" s="53" t="str">
        <x:v>não contatado</x:v>
      </x:c>
      <x:c r="G16" s="55" t="str"/>
      <x:c r="H16" s="53" t="str"/>
      <x:c r="I16" s="56"/>
      <x:c r="J16" s="54" t="str"/>
    </x:row>
    <x:row r="17">
      <x:c r="A17" s="18" t="str">
        <x:f>'Todos os Leads'!B17</x:f>
        <x:v>Loja do Mármore</x:v>
      </x:c>
      <x:c r="B17" s="18" t="str">
        <x:f>'Todos os Leads'!C17</x:f>
        <x:v>Marmorarias</x:v>
      </x:c>
      <x:c r="C17" s="44" t="n">
        <x:f>'Todos os Leads'!AC17</x:f>
        <x:v>43</x:v>
      </x:c>
      <x:c r="D17" s="18" t="str">
        <x:f>'Todos os Leads'!AD17</x:f>
        <x:v>Prioridade C — Média</x:v>
      </x:c>
      <x:c r="E17" s="53" t="str"/>
      <x:c r="F17" s="53" t="str">
        <x:v>não contatado</x:v>
      </x:c>
      <x:c r="G17" s="55" t="str"/>
      <x:c r="H17" s="53" t="str"/>
      <x:c r="I17" s="56"/>
      <x:c r="J17" s="54" t="str"/>
    </x:row>
    <x:row r="18">
      <x:c r="A18" s="18" t="str">
        <x:f>'Todos os Leads'!B18</x:f>
        <x:v>Londrigran Marmoraria - Marmoraria em Londrina</x:v>
      </x:c>
      <x:c r="B18" s="18" t="str">
        <x:f>'Todos os Leads'!C18</x:f>
        <x:v>Marmorarias</x:v>
      </x:c>
      <x:c r="C18" s="44" t="n">
        <x:f>'Todos os Leads'!AC18</x:f>
        <x:v>43</x:v>
      </x:c>
      <x:c r="D18" s="18" t="str">
        <x:f>'Todos os Leads'!AD18</x:f>
        <x:v>Prioridade C — Média</x:v>
      </x:c>
      <x:c r="E18" s="53" t="str"/>
      <x:c r="F18" s="53" t="str">
        <x:v>não contatado</x:v>
      </x:c>
      <x:c r="G18" s="55" t="str"/>
      <x:c r="H18" s="53" t="str"/>
      <x:c r="I18" s="56"/>
      <x:c r="J18" s="54" t="str"/>
    </x:row>
    <x:row r="19">
      <x:c r="A19" s="18" t="str">
        <x:f>'Todos os Leads'!B19</x:f>
        <x:v>MARMORARIA E-JET LONDRINA E REGIÃO</x:v>
      </x:c>
      <x:c r="B19" s="18" t="str">
        <x:f>'Todos os Leads'!C19</x:f>
        <x:v>Marmorarias</x:v>
      </x:c>
      <x:c r="C19" s="44" t="n">
        <x:f>'Todos os Leads'!AC19</x:f>
        <x:v>43</x:v>
      </x:c>
      <x:c r="D19" s="18" t="str">
        <x:f>'Todos os Leads'!AD19</x:f>
        <x:v>Prioridade C — Média</x:v>
      </x:c>
      <x:c r="E19" s="53" t="str"/>
      <x:c r="F19" s="53" t="str">
        <x:v>não contatado</x:v>
      </x:c>
      <x:c r="G19" s="55" t="str"/>
      <x:c r="H19" s="53" t="str"/>
      <x:c r="I19" s="56"/>
      <x:c r="J19" s="54" t="str"/>
    </x:row>
    <x:row r="20">
      <x:c r="A20" s="18" t="str">
        <x:f>'Todos os Leads'!B20</x:f>
        <x:v>Marmoraria Artegran - Londrina.</x:v>
      </x:c>
      <x:c r="B20" s="18" t="str">
        <x:f>'Todos os Leads'!C20</x:f>
        <x:v>Marmorarias</x:v>
      </x:c>
      <x:c r="C20" s="44" t="n">
        <x:f>'Todos os Leads'!AC20</x:f>
        <x:v>43</x:v>
      </x:c>
      <x:c r="D20" s="18" t="str">
        <x:f>'Todos os Leads'!AD20</x:f>
        <x:v>Prioridade C — Média</x:v>
      </x:c>
      <x:c r="E20" s="53" t="str"/>
      <x:c r="F20" s="53" t="str">
        <x:v>não contatado</x:v>
      </x:c>
      <x:c r="G20" s="55" t="str"/>
      <x:c r="H20" s="53" t="str"/>
      <x:c r="I20" s="56"/>
      <x:c r="J20" s="54" t="str"/>
    </x:row>
    <x:row r="21">
      <x:c r="A21" s="18" t="str">
        <x:f>'Todos os Leads'!B21</x:f>
        <x:v>Marmoraria Leblon</x:v>
      </x:c>
      <x:c r="B21" s="18" t="str">
        <x:f>'Todos os Leads'!C21</x:f>
        <x:v>Marmorarias</x:v>
      </x:c>
      <x:c r="C21" s="44" t="n">
        <x:f>'Todos os Leads'!AC21</x:f>
        <x:v>43</x:v>
      </x:c>
      <x:c r="D21" s="18" t="str">
        <x:f>'Todos os Leads'!AD21</x:f>
        <x:v>Prioridade C — Média</x:v>
      </x:c>
      <x:c r="E21" s="53" t="str"/>
      <x:c r="F21" s="53" t="str">
        <x:v>não contatado</x:v>
      </x:c>
      <x:c r="G21" s="55" t="str"/>
      <x:c r="H21" s="53" t="str"/>
      <x:c r="I21" s="56"/>
      <x:c r="J21" s="54" t="str"/>
    </x:row>
    <x:row r="22">
      <x:c r="A22" s="18" t="str">
        <x:f>'Todos os Leads'!B22</x:f>
        <x:v>PrimorStone Marmoraria em Londrina - PR</x:v>
      </x:c>
      <x:c r="B22" s="18" t="str">
        <x:f>'Todos os Leads'!C22</x:f>
        <x:v>Marmorarias</x:v>
      </x:c>
      <x:c r="C22" s="44" t="n">
        <x:f>'Todos os Leads'!AC22</x:f>
        <x:v>43</x:v>
      </x:c>
      <x:c r="D22" s="18" t="str">
        <x:f>'Todos os Leads'!AD22</x:f>
        <x:v>Prioridade C — Média</x:v>
      </x:c>
      <x:c r="E22" s="53" t="str"/>
      <x:c r="F22" s="53" t="str">
        <x:v>não contatado</x:v>
      </x:c>
      <x:c r="G22" s="55" t="str"/>
      <x:c r="H22" s="53" t="str"/>
      <x:c r="I22" s="56"/>
      <x:c r="J22" s="54" t="str"/>
    </x:row>
    <x:row r="23">
      <x:c r="A23" s="18" t="str">
        <x:f>'Todos os Leads'!B23</x:f>
        <x:v>GRANPALHANO DISTRIBUIDORA DE MARMORES E GRANITOS</x:v>
      </x:c>
      <x:c r="B23" s="18" t="str">
        <x:f>'Todos os Leads'!C23</x:f>
        <x:v>Marmorarias</x:v>
      </x:c>
      <x:c r="C23" s="44" t="n">
        <x:f>'Todos os Leads'!AC23</x:f>
        <x:v>40</x:v>
      </x:c>
      <x:c r="D23" s="18" t="str">
        <x:f>'Todos os Leads'!AD23</x:f>
        <x:v>Prioridade C — Média</x:v>
      </x:c>
      <x:c r="E23" s="53" t="str"/>
      <x:c r="F23" s="53" t="str">
        <x:v>não contatado</x:v>
      </x:c>
      <x:c r="G23" s="55" t="str"/>
      <x:c r="H23" s="53" t="str"/>
      <x:c r="I23" s="56"/>
      <x:c r="J23" s="54" t="str"/>
    </x:row>
    <x:row r="24">
      <x:c r="A24" s="18" t="str">
        <x:f>'Todos os Leads'!B24</x:f>
        <x:v>Incomarmore</x:v>
      </x:c>
      <x:c r="B24" s="18" t="str">
        <x:f>'Todos os Leads'!C24</x:f>
        <x:v>Marmorarias</x:v>
      </x:c>
      <x:c r="C24" s="44" t="n">
        <x:f>'Todos os Leads'!AC24</x:f>
        <x:v>40</x:v>
      </x:c>
      <x:c r="D24" s="18" t="str">
        <x:f>'Todos os Leads'!AD24</x:f>
        <x:v>Prioridade C — Média</x:v>
      </x:c>
      <x:c r="E24" s="53" t="str"/>
      <x:c r="F24" s="53" t="str">
        <x:v>não contatado</x:v>
      </x:c>
      <x:c r="G24" s="55" t="str"/>
      <x:c r="H24" s="53" t="str"/>
      <x:c r="I24" s="56"/>
      <x:c r="J24" s="54" t="str"/>
    </x:row>
    <x:row r="25">
      <x:c r="A25" s="18" t="str">
        <x:f>'Todos os Leads'!B25</x:f>
        <x:v>A Projevidros Vidraçaria</x:v>
      </x:c>
      <x:c r="B25" s="18" t="str">
        <x:f>'Todos os Leads'!C25</x:f>
        <x:v>Vidraçarias</x:v>
      </x:c>
      <x:c r="C25" s="44" t="n">
        <x:f>'Todos os Leads'!AC25</x:f>
        <x:v>33</x:v>
      </x:c>
      <x:c r="D25" s="18" t="str">
        <x:f>'Todos os Leads'!AD25</x:f>
        <x:v>Prioridade D — Baixa</x:v>
      </x:c>
      <x:c r="E25" s="53" t="str"/>
      <x:c r="F25" s="53" t="str">
        <x:v>não contatado</x:v>
      </x:c>
      <x:c r="G25" s="55" t="str"/>
      <x:c r="H25" s="53" t="str"/>
      <x:c r="I25" s="56"/>
      <x:c r="J25" s="54" t="str"/>
    </x:row>
    <x:row r="26">
      <x:c r="A26" s="18" t="str">
        <x:f>'Todos os Leads'!B26</x:f>
        <x:v>Adm Vidraçaria</x:v>
      </x:c>
      <x:c r="B26" s="18" t="str">
        <x:f>'Todos os Leads'!C26</x:f>
        <x:v>Vidraçarias</x:v>
      </x:c>
      <x:c r="C26" s="44" t="n">
        <x:f>'Todos os Leads'!AC26</x:f>
        <x:v>33</x:v>
      </x:c>
      <x:c r="D26" s="18" t="str">
        <x:f>'Todos os Leads'!AD26</x:f>
        <x:v>Prioridade D — Baixa</x:v>
      </x:c>
      <x:c r="E26" s="53" t="str"/>
      <x:c r="F26" s="53" t="str">
        <x:v>não contatado</x:v>
      </x:c>
      <x:c r="G26" s="55" t="str"/>
      <x:c r="H26" s="53" t="str"/>
      <x:c r="I26" s="56"/>
      <x:c r="J26" s="54" t="str"/>
    </x:row>
    <x:row r="27">
      <x:c r="A27" s="18" t="str">
        <x:f>'Todos os Leads'!B27</x:f>
        <x:v>Alumibox Vidraçaria</x:v>
      </x:c>
      <x:c r="B27" s="18" t="str">
        <x:f>'Todos os Leads'!C27</x:f>
        <x:v>Vidraçarias</x:v>
      </x:c>
      <x:c r="C27" s="44" t="n">
        <x:f>'Todos os Leads'!AC27</x:f>
        <x:v>33</x:v>
      </x:c>
      <x:c r="D27" s="18" t="str">
        <x:f>'Todos os Leads'!AD27</x:f>
        <x:v>Prioridade D — Baixa</x:v>
      </x:c>
      <x:c r="E27" s="53" t="str"/>
      <x:c r="F27" s="53" t="str">
        <x:v>não contatado</x:v>
      </x:c>
      <x:c r="G27" s="55" t="str"/>
      <x:c r="H27" s="53" t="str"/>
      <x:c r="I27" s="56"/>
      <x:c r="J27" s="54" t="str"/>
    </x:row>
    <x:row r="28">
      <x:c r="A28" s="18" t="str">
        <x:f>'Todos os Leads'!B28</x:f>
        <x:v>Araguaia Vidraçaria</x:v>
      </x:c>
      <x:c r="B28" s="18" t="str">
        <x:f>'Todos os Leads'!C28</x:f>
        <x:v>Vidraçarias</x:v>
      </x:c>
      <x:c r="C28" s="44" t="n">
        <x:f>'Todos os Leads'!AC28</x:f>
        <x:v>33</x:v>
      </x:c>
      <x:c r="D28" s="18" t="str">
        <x:f>'Todos os Leads'!AD28</x:f>
        <x:v>Prioridade D — Baixa</x:v>
      </x:c>
      <x:c r="E28" s="53" t="str"/>
      <x:c r="F28" s="53" t="str">
        <x:v>não contatado</x:v>
      </x:c>
      <x:c r="G28" s="55" t="str"/>
      <x:c r="H28" s="53" t="str"/>
      <x:c r="I28" s="56"/>
      <x:c r="J28" s="54" t="str"/>
    </x:row>
    <x:row r="29">
      <x:c r="A29" s="18" t="str">
        <x:f>'Todos os Leads'!B29</x:f>
        <x:v>Art Final Vidraçaria</x:v>
      </x:c>
      <x:c r="B29" s="18" t="str">
        <x:f>'Todos os Leads'!C29</x:f>
        <x:v>Vidraçarias</x:v>
      </x:c>
      <x:c r="C29" s="44" t="n">
        <x:f>'Todos os Leads'!AC29</x:f>
        <x:v>33</x:v>
      </x:c>
      <x:c r="D29" s="18" t="str">
        <x:f>'Todos os Leads'!AD29</x:f>
        <x:v>Prioridade D — Baixa</x:v>
      </x:c>
      <x:c r="E29" s="53" t="str"/>
      <x:c r="F29" s="53" t="str">
        <x:v>não contatado</x:v>
      </x:c>
      <x:c r="G29" s="55" t="str"/>
      <x:c r="H29" s="53" t="str"/>
      <x:c r="I29" s="56"/>
      <x:c r="J29" s="54" t="str"/>
    </x:row>
    <x:row r="30">
      <x:c r="A30" s="18" t="str">
        <x:f>'Todos os Leads'!B30</x:f>
        <x:v>Box &amp; Vidraçaria Mangaba</x:v>
      </x:c>
      <x:c r="B30" s="18" t="str">
        <x:f>'Todos os Leads'!C30</x:f>
        <x:v>Vidraçarias</x:v>
      </x:c>
      <x:c r="C30" s="44" t="n">
        <x:f>'Todos os Leads'!AC30</x:f>
        <x:v>33</x:v>
      </x:c>
      <x:c r="D30" s="18" t="str">
        <x:f>'Todos os Leads'!AD30</x:f>
        <x:v>Prioridade D — Baixa</x:v>
      </x:c>
      <x:c r="E30" s="53" t="str"/>
      <x:c r="F30" s="53" t="str">
        <x:v>não contatado</x:v>
      </x:c>
      <x:c r="G30" s="55" t="str"/>
      <x:c r="H30" s="53" t="str"/>
      <x:c r="I30" s="56"/>
      <x:c r="J30" s="54" t="str"/>
    </x:row>
    <x:row r="31">
      <x:c r="A31" s="18" t="str">
        <x:f>'Todos os Leads'!B31</x:f>
        <x:v>Box HBV Fiel Vidraçaria</x:v>
      </x:c>
      <x:c r="B31" s="18" t="str">
        <x:f>'Todos os Leads'!C31</x:f>
        <x:v>Vidraçarias</x:v>
      </x:c>
      <x:c r="C31" s="44" t="n">
        <x:f>'Todos os Leads'!AC31</x:f>
        <x:v>33</x:v>
      </x:c>
      <x:c r="D31" s="18" t="str">
        <x:f>'Todos os Leads'!AD31</x:f>
        <x:v>Prioridade D — Baixa</x:v>
      </x:c>
      <x:c r="E31" s="53" t="str"/>
      <x:c r="F31" s="53" t="str">
        <x:v>não contatado</x:v>
      </x:c>
      <x:c r="G31" s="55" t="str"/>
      <x:c r="H31" s="53" t="str"/>
      <x:c r="I31" s="56"/>
      <x:c r="J31" s="54" t="str"/>
    </x:row>
    <x:row r="32">
      <x:c r="A32" s="18" t="str">
        <x:f>'Todos os Leads'!B32</x:f>
        <x:v>CCS Vidraçaria</x:v>
      </x:c>
      <x:c r="B32" s="18" t="str">
        <x:f>'Todos os Leads'!C32</x:f>
        <x:v>Vidraçarias</x:v>
      </x:c>
      <x:c r="C32" s="44" t="n">
        <x:f>'Todos os Leads'!AC32</x:f>
        <x:v>33</x:v>
      </x:c>
      <x:c r="D32" s="18" t="str">
        <x:f>'Todos os Leads'!AD32</x:f>
        <x:v>Prioridade D — Baixa</x:v>
      </x:c>
      <x:c r="E32" s="53" t="str"/>
      <x:c r="F32" s="53" t="str">
        <x:v>não contatado</x:v>
      </x:c>
      <x:c r="G32" s="55" t="str"/>
      <x:c r="H32" s="53" t="str"/>
      <x:c r="I32" s="56"/>
      <x:c r="J32" s="54" t="str"/>
    </x:row>
    <x:row r="33">
      <x:c r="A33" s="18" t="str">
        <x:f>'Todos os Leads'!B33</x:f>
        <x:v>Catavento Vidros E Esquadrias</x:v>
      </x:c>
      <x:c r="B33" s="18" t="str">
        <x:f>'Todos os Leads'!C33</x:f>
        <x:v>Vidraçarias</x:v>
      </x:c>
      <x:c r="C33" s="44" t="n">
        <x:f>'Todos os Leads'!AC33</x:f>
        <x:v>33</x:v>
      </x:c>
      <x:c r="D33" s="18" t="str">
        <x:f>'Todos os Leads'!AD33</x:f>
        <x:v>Prioridade D — Baixa</x:v>
      </x:c>
      <x:c r="E33" s="53" t="str"/>
      <x:c r="F33" s="53" t="str">
        <x:v>não contatado</x:v>
      </x:c>
      <x:c r="G33" s="55" t="str"/>
      <x:c r="H33" s="53" t="str"/>
      <x:c r="I33" s="56"/>
      <x:c r="J33" s="54" t="str"/>
    </x:row>
    <x:row r="34">
      <x:c r="A34" s="18" t="str">
        <x:f>'Todos os Leads'!B34</x:f>
        <x:v>Cavassani &amp; Goncalves</x:v>
      </x:c>
      <x:c r="B34" s="18" t="str">
        <x:f>'Todos os Leads'!C34</x:f>
        <x:v>Vidraçarias</x:v>
      </x:c>
      <x:c r="C34" s="44" t="n">
        <x:f>'Todos os Leads'!AC34</x:f>
        <x:v>33</x:v>
      </x:c>
      <x:c r="D34" s="18" t="str">
        <x:f>'Todos os Leads'!AD34</x:f>
        <x:v>Prioridade D — Baixa</x:v>
      </x:c>
      <x:c r="E34" s="53" t="str"/>
      <x:c r="F34" s="53" t="str">
        <x:v>não contatado</x:v>
      </x:c>
      <x:c r="G34" s="55" t="str"/>
      <x:c r="H34" s="53" t="str"/>
      <x:c r="I34" s="56"/>
      <x:c r="J34" s="54" t="str"/>
    </x:row>
    <x:row r="35">
      <x:c r="A35" s="18" t="str">
        <x:f>'Todos os Leads'!B35</x:f>
        <x:v>Cleide Suavi Gurgel</x:v>
      </x:c>
      <x:c r="B35" s="18" t="str">
        <x:f>'Todos os Leads'!C35</x:f>
        <x:v>Vidraçarias</x:v>
      </x:c>
      <x:c r="C35" s="44" t="n">
        <x:f>'Todos os Leads'!AC35</x:f>
        <x:v>33</x:v>
      </x:c>
      <x:c r="D35" s="18" t="str">
        <x:f>'Todos os Leads'!AD35</x:f>
        <x:v>Prioridade D — Baixa</x:v>
      </x:c>
      <x:c r="E35" s="53" t="str"/>
      <x:c r="F35" s="53" t="str">
        <x:v>não contatado</x:v>
      </x:c>
      <x:c r="G35" s="55" t="str"/>
      <x:c r="H35" s="53" t="str"/>
      <x:c r="I35" s="56"/>
      <x:c r="J35" s="54" t="str"/>
    </x:row>
    <x:row r="36">
      <x:c r="A36" s="18" t="str">
        <x:f>'Todos os Leads'!B36</x:f>
        <x:v>Coscrato &amp; Coscrato</x:v>
      </x:c>
      <x:c r="B36" s="18" t="str">
        <x:f>'Todos os Leads'!C36</x:f>
        <x:v>Vidraçarias</x:v>
      </x:c>
      <x:c r="C36" s="44" t="n">
        <x:f>'Todos os Leads'!AC36</x:f>
        <x:v>33</x:v>
      </x:c>
      <x:c r="D36" s="18" t="str">
        <x:f>'Todos os Leads'!AD36</x:f>
        <x:v>Prioridade D — Baixa</x:v>
      </x:c>
      <x:c r="E36" s="53" t="str"/>
      <x:c r="F36" s="53" t="str">
        <x:v>não contatado</x:v>
      </x:c>
      <x:c r="G36" s="55" t="str"/>
      <x:c r="H36" s="53" t="str"/>
      <x:c r="I36" s="56"/>
      <x:c r="J36" s="54" t="str"/>
    </x:row>
    <x:row r="37">
      <x:c r="A37" s="18" t="str">
        <x:f>'Todos os Leads'!B37</x:f>
        <x:v>Cuiabá Vidros</x:v>
      </x:c>
      <x:c r="B37" s="18" t="str">
        <x:f>'Todos os Leads'!C37</x:f>
        <x:v>Vidraçarias</x:v>
      </x:c>
      <x:c r="C37" s="44" t="n">
        <x:f>'Todos os Leads'!AC37</x:f>
        <x:v>33</x:v>
      </x:c>
      <x:c r="D37" s="18" t="str">
        <x:f>'Todos os Leads'!AD37</x:f>
        <x:v>Prioridade D — Baixa</x:v>
      </x:c>
      <x:c r="E37" s="53" t="str"/>
      <x:c r="F37" s="53" t="str">
        <x:v>não contatado</x:v>
      </x:c>
      <x:c r="G37" s="55" t="str"/>
      <x:c r="H37" s="53" t="str"/>
      <x:c r="I37" s="56"/>
      <x:c r="J37" s="54" t="str"/>
    </x:row>
    <x:row r="38">
      <x:c r="A38" s="18" t="str">
        <x:f>'Todos os Leads'!B38</x:f>
        <x:v>Diamante Vidraçaria</x:v>
      </x:c>
      <x:c r="B38" s="18" t="str">
        <x:f>'Todos os Leads'!C38</x:f>
        <x:v>Vidraçarias</x:v>
      </x:c>
      <x:c r="C38" s="44" t="n">
        <x:f>'Todos os Leads'!AC38</x:f>
        <x:v>33</x:v>
      </x:c>
      <x:c r="D38" s="18" t="str">
        <x:f>'Todos os Leads'!AD38</x:f>
        <x:v>Prioridade D — Baixa</x:v>
      </x:c>
      <x:c r="E38" s="53" t="str"/>
      <x:c r="F38" s="53" t="str">
        <x:v>não contatado</x:v>
      </x:c>
      <x:c r="G38" s="55" t="str"/>
      <x:c r="H38" s="53" t="str"/>
      <x:c r="I38" s="56"/>
      <x:c r="J38" s="54" t="str"/>
    </x:row>
    <x:row r="39">
      <x:c r="A39" s="18" t="str">
        <x:f>'Todos os Leads'!B39</x:f>
        <x:v>Digiatti Vidraçaria</x:v>
      </x:c>
      <x:c r="B39" s="18" t="str">
        <x:f>'Todos os Leads'!C39</x:f>
        <x:v>Vidraçarias</x:v>
      </x:c>
      <x:c r="C39" s="44" t="n">
        <x:f>'Todos os Leads'!AC39</x:f>
        <x:v>33</x:v>
      </x:c>
      <x:c r="D39" s="18" t="str">
        <x:f>'Todos os Leads'!AD39</x:f>
        <x:v>Prioridade D — Baixa</x:v>
      </x:c>
      <x:c r="E39" s="53" t="str"/>
      <x:c r="F39" s="53" t="str">
        <x:v>não contatado</x:v>
      </x:c>
      <x:c r="G39" s="55" t="str"/>
      <x:c r="H39" s="53" t="str"/>
      <x:c r="I39" s="56"/>
      <x:c r="J39" s="54" t="str"/>
    </x:row>
    <x:row r="40">
      <x:c r="A40" s="18" t="str">
        <x:f>'Todos os Leads'!B40</x:f>
        <x:v>Gerson Wosiack &amp; Cia</x:v>
      </x:c>
      <x:c r="B40" s="18" t="str">
        <x:f>'Todos os Leads'!C40</x:f>
        <x:v>Vidraçarias</x:v>
      </x:c>
      <x:c r="C40" s="44" t="n">
        <x:f>'Todos os Leads'!AC40</x:f>
        <x:v>33</x:v>
      </x:c>
      <x:c r="D40" s="18" t="str">
        <x:f>'Todos os Leads'!AD40</x:f>
        <x:v>Prioridade D — Baixa</x:v>
      </x:c>
      <x:c r="E40" s="53" t="str"/>
      <x:c r="F40" s="53" t="str">
        <x:v>não contatado</x:v>
      </x:c>
      <x:c r="G40" s="55" t="str"/>
      <x:c r="H40" s="53" t="str"/>
      <x:c r="I40" s="56"/>
      <x:c r="J40" s="54" t="str"/>
    </x:row>
    <x:row r="41">
      <x:c r="A41" s="18" t="str">
        <x:f>'Todos os Leads'!B41</x:f>
        <x:v>Guaporé Vidros e Alumínio</x:v>
      </x:c>
      <x:c r="B41" s="18" t="str">
        <x:f>'Todos os Leads'!C41</x:f>
        <x:v>Vidraçarias</x:v>
      </x:c>
      <x:c r="C41" s="44" t="n">
        <x:f>'Todos os Leads'!AC41</x:f>
        <x:v>33</x:v>
      </x:c>
      <x:c r="D41" s="18" t="str">
        <x:f>'Todos os Leads'!AD41</x:f>
        <x:v>Prioridade D — Baixa</x:v>
      </x:c>
      <x:c r="E41" s="53" t="str"/>
      <x:c r="F41" s="53" t="str">
        <x:v>não contatado</x:v>
      </x:c>
      <x:c r="G41" s="55" t="str"/>
      <x:c r="H41" s="53" t="str"/>
      <x:c r="I41" s="56"/>
      <x:c r="J41" s="54" t="str"/>
    </x:row>
    <x:row r="42">
      <x:c r="A42" s="18" t="str">
        <x:f>'Todos os Leads'!B42</x:f>
        <x:v>Gurgel &amp; Bernardes</x:v>
      </x:c>
      <x:c r="B42" s="18" t="str">
        <x:f>'Todos os Leads'!C42</x:f>
        <x:v>Vidraçarias</x:v>
      </x:c>
      <x:c r="C42" s="44" t="n">
        <x:f>'Todos os Leads'!AC42</x:f>
        <x:v>33</x:v>
      </x:c>
      <x:c r="D42" s="18" t="str">
        <x:f>'Todos os Leads'!AD42</x:f>
        <x:v>Prioridade D — Baixa</x:v>
      </x:c>
      <x:c r="E42" s="53" t="str"/>
      <x:c r="F42" s="53" t="str">
        <x:v>não contatado</x:v>
      </x:c>
      <x:c r="G42" s="55" t="str"/>
      <x:c r="H42" s="53" t="str"/>
      <x:c r="I42" s="56"/>
      <x:c r="J42" s="54" t="str"/>
    </x:row>
    <x:row r="43">
      <x:c r="A43" s="18" t="str">
        <x:f>'Todos os Leads'!B43</x:f>
        <x:v>Lidervidros Comércio de Vidros</x:v>
      </x:c>
      <x:c r="B43" s="18" t="str">
        <x:f>'Todos os Leads'!C43</x:f>
        <x:v>Vidraçarias</x:v>
      </x:c>
      <x:c r="C43" s="44" t="n">
        <x:f>'Todos os Leads'!AC43</x:f>
        <x:v>33</x:v>
      </x:c>
      <x:c r="D43" s="18" t="str">
        <x:f>'Todos os Leads'!AD43</x:f>
        <x:v>Prioridade D — Baixa</x:v>
      </x:c>
      <x:c r="E43" s="53" t="str"/>
      <x:c r="F43" s="53" t="str">
        <x:v>não contatado</x:v>
      </x:c>
      <x:c r="G43" s="55" t="str"/>
      <x:c r="H43" s="53" t="str"/>
      <x:c r="I43" s="56"/>
      <x:c r="J43" s="54" t="str"/>
    </x:row>
    <x:row r="44">
      <x:c r="A44" s="18" t="str">
        <x:f>'Todos os Leads'!B44</x:f>
        <x:v>Lojão Do Vidraceiro</x:v>
      </x:c>
      <x:c r="B44" s="18" t="str">
        <x:f>'Todos os Leads'!C44</x:f>
        <x:v>Vidraçarias</x:v>
      </x:c>
      <x:c r="C44" s="44" t="n">
        <x:f>'Todos os Leads'!AC44</x:f>
        <x:v>33</x:v>
      </x:c>
      <x:c r="D44" s="18" t="str">
        <x:f>'Todos os Leads'!AD44</x:f>
        <x:v>Prioridade D — Baixa</x:v>
      </x:c>
      <x:c r="E44" s="53" t="str"/>
      <x:c r="F44" s="53" t="str">
        <x:v>não contatado</x:v>
      </x:c>
      <x:c r="G44" s="55" t="str"/>
      <x:c r="H44" s="53" t="str"/>
      <x:c r="I44" s="56"/>
      <x:c r="J44" s="54" t="str"/>
    </x:row>
    <x:row r="45">
      <x:c r="A45" s="18" t="str">
        <x:f>'Todos os Leads'!B45</x:f>
        <x:v>Betoven Artefatos E Madeiras</x:v>
      </x:c>
      <x:c r="B45" s="18" t="str">
        <x:f>'Todos os Leads'!C45</x:f>
        <x:v>Marcenarias e móveis planejados</x:v>
      </x:c>
      <x:c r="C45" s="44" t="n">
        <x:f>'Todos os Leads'!AC45</x:f>
        <x:v>33</x:v>
      </x:c>
      <x:c r="D45" s="18" t="str">
        <x:f>'Todos os Leads'!AD45</x:f>
        <x:v>Prioridade D — Baixa</x:v>
      </x:c>
      <x:c r="E45" s="53" t="str"/>
      <x:c r="F45" s="53" t="str">
        <x:v>não contatado</x:v>
      </x:c>
      <x:c r="G45" s="55" t="str"/>
      <x:c r="H45" s="53" t="str"/>
      <x:c r="I45" s="56"/>
      <x:c r="J45" s="54" t="str"/>
    </x:row>
    <x:row r="46">
      <x:c r="A46" s="18" t="str">
        <x:f>'Todos os Leads'!B46</x:f>
        <x:v>Casa Móveis Marcenaria</x:v>
      </x:c>
      <x:c r="B46" s="18" t="str">
        <x:f>'Todos os Leads'!C46</x:f>
        <x:v>Marcenarias e móveis planejados</x:v>
      </x:c>
      <x:c r="C46" s="44" t="n">
        <x:f>'Todos os Leads'!AC46</x:f>
        <x:v>33</x:v>
      </x:c>
      <x:c r="D46" s="18" t="str">
        <x:f>'Todos os Leads'!AD46</x:f>
        <x:v>Prioridade D — Baixa</x:v>
      </x:c>
      <x:c r="E46" s="53" t="str"/>
      <x:c r="F46" s="53" t="str">
        <x:v>não contatado</x:v>
      </x:c>
      <x:c r="G46" s="55" t="str"/>
      <x:c r="H46" s="53" t="str"/>
      <x:c r="I46" s="56"/>
      <x:c r="J46" s="54" t="str"/>
    </x:row>
    <x:row r="47">
      <x:c r="A47" s="18" t="str">
        <x:f>'Todos os Leads'!B47</x:f>
        <x:v>Criativa Marcenaria</x:v>
      </x:c>
      <x:c r="B47" s="18" t="str">
        <x:f>'Todos os Leads'!C47</x:f>
        <x:v>Marcenarias e móveis planejados</x:v>
      </x:c>
      <x:c r="C47" s="44" t="n">
        <x:f>'Todos os Leads'!AC47</x:f>
        <x:v>33</x:v>
      </x:c>
      <x:c r="D47" s="18" t="str">
        <x:f>'Todos os Leads'!AD47</x:f>
        <x:v>Prioridade D — Baixa</x:v>
      </x:c>
      <x:c r="E47" s="53" t="str"/>
      <x:c r="F47" s="53" t="str">
        <x:v>não contatado</x:v>
      </x:c>
      <x:c r="G47" s="55" t="str"/>
      <x:c r="H47" s="53" t="str"/>
      <x:c r="I47" s="56"/>
      <x:c r="J47" s="54" t="str"/>
    </x:row>
    <x:row r="48">
      <x:c r="A48" s="18" t="str">
        <x:f>'Todos os Leads'!B48</x:f>
        <x:v>DF Marcenaria</x:v>
      </x:c>
      <x:c r="B48" s="18" t="str">
        <x:f>'Todos os Leads'!C48</x:f>
        <x:v>Marcenarias e móveis planejados</x:v>
      </x:c>
      <x:c r="C48" s="44" t="n">
        <x:f>'Todos os Leads'!AC48</x:f>
        <x:v>33</x:v>
      </x:c>
      <x:c r="D48" s="18" t="str">
        <x:f>'Todos os Leads'!AD48</x:f>
        <x:v>Prioridade D — Baixa</x:v>
      </x:c>
      <x:c r="E48" s="53" t="str"/>
      <x:c r="F48" s="53" t="str">
        <x:v>não contatado</x:v>
      </x:c>
      <x:c r="G48" s="55" t="str"/>
      <x:c r="H48" s="53" t="str"/>
      <x:c r="I48" s="56"/>
      <x:c r="J48" s="54" t="str"/>
    </x:row>
    <x:row r="49">
      <x:c r="A49" s="18" t="str">
        <x:f>'Todos os Leads'!B49</x:f>
        <x:v>Formatto Marcenaria</x:v>
      </x:c>
      <x:c r="B49" s="18" t="str">
        <x:f>'Todos os Leads'!C49</x:f>
        <x:v>Marcenarias e móveis planejados</x:v>
      </x:c>
      <x:c r="C49" s="44" t="n">
        <x:f>'Todos os Leads'!AC49</x:f>
        <x:v>33</x:v>
      </x:c>
      <x:c r="D49" s="18" t="str">
        <x:f>'Todos os Leads'!AD49</x:f>
        <x:v>Prioridade D — Baixa</x:v>
      </x:c>
      <x:c r="E49" s="53" t="str"/>
      <x:c r="F49" s="53" t="str">
        <x:v>não contatado</x:v>
      </x:c>
      <x:c r="G49" s="55" t="str"/>
      <x:c r="H49" s="53" t="str"/>
      <x:c r="I49" s="56"/>
      <x:c r="J49" s="54" t="str"/>
    </x:row>
    <x:row r="50">
      <x:c r="A50" s="18" t="str">
        <x:f>'Todos os Leads'!B50</x:f>
        <x:v>Londriplac</x:v>
      </x:c>
      <x:c r="B50" s="18" t="str">
        <x:f>'Todos os Leads'!C50</x:f>
        <x:v>Marcenarias e móveis planejados</x:v>
      </x:c>
      <x:c r="C50" s="44" t="n">
        <x:f>'Todos os Leads'!AC50</x:f>
        <x:v>33</x:v>
      </x:c>
      <x:c r="D50" s="18" t="str">
        <x:f>'Todos os Leads'!AD50</x:f>
        <x:v>Prioridade D — Baixa</x:v>
      </x:c>
      <x:c r="E50" s="53" t="str"/>
      <x:c r="F50" s="53" t="str">
        <x:v>não contatado</x:v>
      </x:c>
      <x:c r="G50" s="55" t="str"/>
      <x:c r="H50" s="53" t="str"/>
      <x:c r="I50" s="56"/>
      <x:c r="J50" s="54" t="str"/>
    </x:row>
    <x:row r="51">
      <x:c r="A51" s="18" t="str">
        <x:f>'Todos os Leads'!B51</x:f>
        <x:v>Marcenaria 2 Irmãos</x:v>
      </x:c>
      <x:c r="B51" s="18" t="str">
        <x:f>'Todos os Leads'!C51</x:f>
        <x:v>Marcenarias e móveis planejados</x:v>
      </x:c>
      <x:c r="C51" s="44" t="n">
        <x:f>'Todos os Leads'!AC51</x:f>
        <x:v>33</x:v>
      </x:c>
      <x:c r="D51" s="18" t="str">
        <x:f>'Todos os Leads'!AD51</x:f>
        <x:v>Prioridade D — Baixa</x:v>
      </x:c>
      <x:c r="E51" s="53" t="str"/>
      <x:c r="F51" s="53" t="str">
        <x:v>não contatado</x:v>
      </x:c>
      <x:c r="G51" s="55" t="str"/>
      <x:c r="H51" s="53" t="str"/>
      <x:c r="I51" s="56"/>
      <x:c r="J51" s="54" t="str"/>
    </x:row>
    <x:row r="52">
      <x:c r="A52" s="18" t="str">
        <x:f>'Todos os Leads'!B52</x:f>
        <x:v>Marcenaria Art Móveis</x:v>
      </x:c>
      <x:c r="B52" s="18" t="str">
        <x:f>'Todos os Leads'!C52</x:f>
        <x:v>Marcenarias e móveis planejados</x:v>
      </x:c>
      <x:c r="C52" s="44" t="n">
        <x:f>'Todos os Leads'!AC52</x:f>
        <x:v>33</x:v>
      </x:c>
      <x:c r="D52" s="18" t="str">
        <x:f>'Todos os Leads'!AD52</x:f>
        <x:v>Prioridade D — Baixa</x:v>
      </x:c>
      <x:c r="E52" s="53" t="str"/>
      <x:c r="F52" s="53" t="str">
        <x:v>não contatado</x:v>
      </x:c>
      <x:c r="G52" s="55" t="str"/>
      <x:c r="H52" s="53" t="str"/>
      <x:c r="I52" s="56"/>
      <x:c r="J52" s="54" t="str"/>
    </x:row>
    <x:row r="53">
      <x:c r="A53" s="18" t="str">
        <x:f>'Todos os Leads'!B53</x:f>
        <x:v>Marcenaria Bianchi</x:v>
      </x:c>
      <x:c r="B53" s="18" t="str">
        <x:f>'Todos os Leads'!C53</x:f>
        <x:v>Marcenarias e móveis planejados</x:v>
      </x:c>
      <x:c r="C53" s="44" t="n">
        <x:f>'Todos os Leads'!AC53</x:f>
        <x:v>33</x:v>
      </x:c>
      <x:c r="D53" s="18" t="str">
        <x:f>'Todos os Leads'!AD53</x:f>
        <x:v>Prioridade D — Baixa</x:v>
      </x:c>
      <x:c r="E53" s="53" t="str"/>
      <x:c r="F53" s="53" t="str">
        <x:v>não contatado</x:v>
      </x:c>
      <x:c r="G53" s="55" t="str"/>
      <x:c r="H53" s="53" t="str"/>
      <x:c r="I53" s="56"/>
      <x:c r="J53" s="54" t="str"/>
    </x:row>
    <x:row r="54">
      <x:c r="A54" s="18" t="str">
        <x:f>'Todos os Leads'!B54</x:f>
        <x:v>Marcenaria Brasil</x:v>
      </x:c>
      <x:c r="B54" s="18" t="str">
        <x:f>'Todos os Leads'!C54</x:f>
        <x:v>Marcenarias e móveis planejados</x:v>
      </x:c>
      <x:c r="C54" s="44" t="n">
        <x:f>'Todos os Leads'!AC54</x:f>
        <x:v>33</x:v>
      </x:c>
      <x:c r="D54" s="18" t="str">
        <x:f>'Todos os Leads'!AD54</x:f>
        <x:v>Prioridade D — Baixa</x:v>
      </x:c>
      <x:c r="E54" s="53" t="str"/>
      <x:c r="F54" s="53" t="str">
        <x:v>não contatado</x:v>
      </x:c>
      <x:c r="G54" s="55" t="str"/>
      <x:c r="H54" s="53" t="str"/>
      <x:c r="I54" s="56"/>
      <x:c r="J54" s="54" t="str"/>
    </x:row>
    <x:row r="55">
      <x:c r="A55" s="18" t="str">
        <x:f>'Todos os Leads'!B55</x:f>
        <x:v>Marcenaria Cianca</x:v>
      </x:c>
      <x:c r="B55" s="18" t="str">
        <x:f>'Todos os Leads'!C55</x:f>
        <x:v>Marcenarias e móveis planejados</x:v>
      </x:c>
      <x:c r="C55" s="44" t="n">
        <x:f>'Todos os Leads'!AC55</x:f>
        <x:v>33</x:v>
      </x:c>
      <x:c r="D55" s="18" t="str">
        <x:f>'Todos os Leads'!AD55</x:f>
        <x:v>Prioridade D — Baixa</x:v>
      </x:c>
      <x:c r="E55" s="53" t="str"/>
      <x:c r="F55" s="53" t="str">
        <x:v>não contatado</x:v>
      </x:c>
      <x:c r="G55" s="55" t="str"/>
      <x:c r="H55" s="53" t="str"/>
      <x:c r="I55" s="56"/>
      <x:c r="J55" s="54" t="str"/>
    </x:row>
    <x:row r="56">
      <x:c r="A56" s="18" t="str">
        <x:f>'Todos os Leads'!B56</x:f>
        <x:v>Marcenaria Cristal I</x:v>
      </x:c>
      <x:c r="B56" s="18" t="str">
        <x:f>'Todos os Leads'!C56</x:f>
        <x:v>Marcenarias e móveis planejados</x:v>
      </x:c>
      <x:c r="C56" s="44" t="n">
        <x:f>'Todos os Leads'!AC56</x:f>
        <x:v>33</x:v>
      </x:c>
      <x:c r="D56" s="18" t="str">
        <x:f>'Todos os Leads'!AD56</x:f>
        <x:v>Prioridade D — Baixa</x:v>
      </x:c>
      <x:c r="E56" s="53" t="str"/>
      <x:c r="F56" s="53" t="str">
        <x:v>não contatado</x:v>
      </x:c>
      <x:c r="G56" s="55" t="str"/>
      <x:c r="H56" s="53" t="str"/>
      <x:c r="I56" s="56"/>
      <x:c r="J56" s="54" t="str"/>
    </x:row>
    <x:row r="57">
      <x:c r="A57" s="18" t="str">
        <x:f>'Todos os Leads'!B57</x:f>
        <x:v>Marcenaria Cristal II</x:v>
      </x:c>
      <x:c r="B57" s="18" t="str">
        <x:f>'Todos os Leads'!C57</x:f>
        <x:v>Marcenarias e móveis planejados</x:v>
      </x:c>
      <x:c r="C57" s="44" t="n">
        <x:f>'Todos os Leads'!AC57</x:f>
        <x:v>33</x:v>
      </x:c>
      <x:c r="D57" s="18" t="str">
        <x:f>'Todos os Leads'!AD57</x:f>
        <x:v>Prioridade D — Baixa</x:v>
      </x:c>
      <x:c r="E57" s="53" t="str"/>
      <x:c r="F57" s="53" t="str">
        <x:v>não contatado</x:v>
      </x:c>
      <x:c r="G57" s="55" t="str"/>
      <x:c r="H57" s="53" t="str"/>
      <x:c r="I57" s="56"/>
      <x:c r="J57" s="54" t="str"/>
    </x:row>
    <x:row r="58">
      <x:c r="A58" s="18" t="str">
        <x:f>'Todos os Leads'!B58</x:f>
        <x:v>Marcenaria Deames Trink</x:v>
      </x:c>
      <x:c r="B58" s="18" t="str">
        <x:f>'Todos os Leads'!C58</x:f>
        <x:v>Marcenarias e móveis planejados</x:v>
      </x:c>
      <x:c r="C58" s="44" t="n">
        <x:f>'Todos os Leads'!AC58</x:f>
        <x:v>33</x:v>
      </x:c>
      <x:c r="D58" s="18" t="str">
        <x:f>'Todos os Leads'!AD58</x:f>
        <x:v>Prioridade D — Baixa</x:v>
      </x:c>
      <x:c r="E58" s="53" t="str"/>
      <x:c r="F58" s="53" t="str">
        <x:v>não contatado</x:v>
      </x:c>
      <x:c r="G58" s="55" t="str"/>
      <x:c r="H58" s="53" t="str"/>
      <x:c r="I58" s="56"/>
      <x:c r="J58" s="54" t="str"/>
    </x:row>
    <x:row r="59">
      <x:c r="A59" s="18" t="str">
        <x:f>'Todos os Leads'!B59</x:f>
        <x:v>Marcenaria Do Elias</x:v>
      </x:c>
      <x:c r="B59" s="18" t="str">
        <x:f>'Todos os Leads'!C59</x:f>
        <x:v>Marcenarias e móveis planejados</x:v>
      </x:c>
      <x:c r="C59" s="44" t="n">
        <x:f>'Todos os Leads'!AC59</x:f>
        <x:v>33</x:v>
      </x:c>
      <x:c r="D59" s="18" t="str">
        <x:f>'Todos os Leads'!AD59</x:f>
        <x:v>Prioridade D — Baixa</x:v>
      </x:c>
      <x:c r="E59" s="53" t="str"/>
      <x:c r="F59" s="53" t="str">
        <x:v>não contatado</x:v>
      </x:c>
      <x:c r="G59" s="55" t="str"/>
      <x:c r="H59" s="53" t="str"/>
      <x:c r="I59" s="56"/>
      <x:c r="J59" s="54" t="str"/>
    </x:row>
    <x:row r="60">
      <x:c r="A60" s="18" t="str">
        <x:f>'Todos os Leads'!B60</x:f>
        <x:v>Marcenaria JF Móveis</x:v>
      </x:c>
      <x:c r="B60" s="18" t="str">
        <x:f>'Todos os Leads'!C60</x:f>
        <x:v>Marcenarias e móveis planejados</x:v>
      </x:c>
      <x:c r="C60" s="44" t="n">
        <x:f>'Todos os Leads'!AC60</x:f>
        <x:v>33</x:v>
      </x:c>
      <x:c r="D60" s="18" t="str">
        <x:f>'Todos os Leads'!AD60</x:f>
        <x:v>Prioridade D — Baixa</x:v>
      </x:c>
      <x:c r="E60" s="53" t="str"/>
      <x:c r="F60" s="53" t="str">
        <x:v>não contatado</x:v>
      </x:c>
      <x:c r="G60" s="55" t="str"/>
      <x:c r="H60" s="53" t="str"/>
      <x:c r="I60" s="56"/>
      <x:c r="J60" s="54" t="str"/>
    </x:row>
    <x:row r="61">
      <x:c r="A61" s="18" t="str">
        <x:f>'Todos os Leads'!B61</x:f>
        <x:v>Marcenaria Londimoveis</x:v>
      </x:c>
      <x:c r="B61" s="18" t="str">
        <x:f>'Todos os Leads'!C61</x:f>
        <x:v>Marcenarias e móveis planejados</x:v>
      </x:c>
      <x:c r="C61" s="44" t="n">
        <x:f>'Todos os Leads'!AC61</x:f>
        <x:v>33</x:v>
      </x:c>
      <x:c r="D61" s="18" t="str">
        <x:f>'Todos os Leads'!AD61</x:f>
        <x:v>Prioridade D — Baixa</x:v>
      </x:c>
      <x:c r="E61" s="53" t="str"/>
      <x:c r="F61" s="53" t="str">
        <x:v>não contatado</x:v>
      </x:c>
      <x:c r="G61" s="55" t="str"/>
      <x:c r="H61" s="53" t="str"/>
      <x:c r="I61" s="56"/>
      <x:c r="J61" s="54" t="str"/>
    </x:row>
    <x:row r="62">
      <x:c r="A62" s="18" t="str">
        <x:f>'Todos os Leads'!B62</x:f>
        <x:v>Marcenaria Mauri Móveis</x:v>
      </x:c>
      <x:c r="B62" s="18" t="str">
        <x:f>'Todos os Leads'!C62</x:f>
        <x:v>Marcenarias e móveis planejados</x:v>
      </x:c>
      <x:c r="C62" s="44" t="n">
        <x:f>'Todos os Leads'!AC62</x:f>
        <x:v>33</x:v>
      </x:c>
      <x:c r="D62" s="18" t="str">
        <x:f>'Todos os Leads'!AD62</x:f>
        <x:v>Prioridade D — Baixa</x:v>
      </x:c>
      <x:c r="E62" s="53" t="str"/>
      <x:c r="F62" s="53" t="str">
        <x:v>não contatado</x:v>
      </x:c>
      <x:c r="G62" s="55" t="str"/>
      <x:c r="H62" s="53" t="str"/>
      <x:c r="I62" s="56"/>
      <x:c r="J62" s="54" t="str"/>
    </x:row>
    <x:row r="63">
      <x:c r="A63" s="18" t="str">
        <x:f>'Todos os Leads'!B63</x:f>
        <x:v>Marcenaria Pica Pau</x:v>
      </x:c>
      <x:c r="B63" s="18" t="str">
        <x:f>'Todos os Leads'!C63</x:f>
        <x:v>Marcenarias e móveis planejados</x:v>
      </x:c>
      <x:c r="C63" s="44" t="n">
        <x:f>'Todos os Leads'!AC63</x:f>
        <x:v>33</x:v>
      </x:c>
      <x:c r="D63" s="18" t="str">
        <x:f>'Todos os Leads'!AD63</x:f>
        <x:v>Prioridade D — Baixa</x:v>
      </x:c>
      <x:c r="E63" s="53" t="str"/>
      <x:c r="F63" s="53" t="str">
        <x:v>não contatado</x:v>
      </x:c>
      <x:c r="G63" s="55" t="str"/>
      <x:c r="H63" s="53" t="str"/>
      <x:c r="I63" s="56"/>
      <x:c r="J63" s="54" t="str"/>
    </x:row>
    <x:row r="64">
      <x:c r="A64" s="18" t="str">
        <x:f>'Todos os Leads'!B64</x:f>
        <x:v>Marcenaria Sapia</x:v>
      </x:c>
      <x:c r="B64" s="18" t="str">
        <x:f>'Todos os Leads'!C64</x:f>
        <x:v>Marcenarias e móveis planejados</x:v>
      </x:c>
      <x:c r="C64" s="44" t="n">
        <x:f>'Todos os Leads'!AC64</x:f>
        <x:v>33</x:v>
      </x:c>
      <x:c r="D64" s="18" t="str">
        <x:f>'Todos os Leads'!AD64</x:f>
        <x:v>Prioridade D — Baixa</x:v>
      </x:c>
      <x:c r="E64" s="53" t="str"/>
      <x:c r="F64" s="53" t="str">
        <x:v>não contatado</x:v>
      </x:c>
      <x:c r="G64" s="55" t="str"/>
      <x:c r="H64" s="53" t="str"/>
      <x:c r="I64" s="56"/>
      <x:c r="J64" s="54" t="str"/>
    </x:row>
    <x:row r="65">
      <x:c r="A65" s="18" t="str">
        <x:f>'Todos os Leads'!B65</x:f>
        <x:v>A M Diesel Oficina Mecânica</x:v>
      </x:c>
      <x:c r="B65" s="18" t="str">
        <x:f>'Todos os Leads'!C65</x:f>
        <x:v>Oficinas mecânicas</x:v>
      </x:c>
      <x:c r="C65" s="44" t="n">
        <x:f>'Todos os Leads'!AC65</x:f>
        <x:v>33</x:v>
      </x:c>
      <x:c r="D65" s="18" t="str">
        <x:f>'Todos os Leads'!AD65</x:f>
        <x:v>Prioridade D — Baixa</x:v>
      </x:c>
      <x:c r="E65" s="53" t="str"/>
      <x:c r="F65" s="53" t="str">
        <x:v>não contatado</x:v>
      </x:c>
      <x:c r="G65" s="55" t="str"/>
      <x:c r="H65" s="53" t="str"/>
      <x:c r="I65" s="56"/>
      <x:c r="J65" s="54" t="str"/>
    </x:row>
    <x:row r="66">
      <x:c r="A66" s="18" t="str">
        <x:f>'Todos os Leads'!B66</x:f>
        <x:v>Abra Oficina Mecânica</x:v>
      </x:c>
      <x:c r="B66" s="18" t="str">
        <x:f>'Todos os Leads'!C66</x:f>
        <x:v>Oficinas mecânicas</x:v>
      </x:c>
      <x:c r="C66" s="44" t="n">
        <x:f>'Todos os Leads'!AC66</x:f>
        <x:v>33</x:v>
      </x:c>
      <x:c r="D66" s="18" t="str">
        <x:f>'Todos os Leads'!AD66</x:f>
        <x:v>Prioridade D — Baixa</x:v>
      </x:c>
      <x:c r="E66" s="53" t="str"/>
      <x:c r="F66" s="53" t="str">
        <x:v>não contatado</x:v>
      </x:c>
      <x:c r="G66" s="55" t="str"/>
      <x:c r="H66" s="53" t="str"/>
      <x:c r="I66" s="56"/>
      <x:c r="J66" s="54" t="str"/>
    </x:row>
    <x:row r="67">
      <x:c r="A67" s="18" t="str">
        <x:f>'Todos os Leads'!B67</x:f>
        <x:v>CS Auto Mecânica</x:v>
      </x:c>
      <x:c r="B67" s="18" t="str">
        <x:f>'Todos os Leads'!C67</x:f>
        <x:v>Oficinas mecânicas</x:v>
      </x:c>
      <x:c r="C67" s="44" t="n">
        <x:f>'Todos os Leads'!AC67</x:f>
        <x:v>33</x:v>
      </x:c>
      <x:c r="D67" s="18" t="str">
        <x:f>'Todos os Leads'!AD67</x:f>
        <x:v>Prioridade D — Baixa</x:v>
      </x:c>
      <x:c r="E67" s="53" t="str"/>
      <x:c r="F67" s="53" t="str">
        <x:v>não contatado</x:v>
      </x:c>
      <x:c r="G67" s="55" t="str"/>
      <x:c r="H67" s="53" t="str"/>
      <x:c r="I67" s="56"/>
      <x:c r="J67" s="54" t="str"/>
    </x:row>
    <x:row r="68">
      <x:c r="A68" s="18" t="str">
        <x:f>'Todos os Leads'!B68</x:f>
        <x:v>Capello Oficina Mecânica</x:v>
      </x:c>
      <x:c r="B68" s="18" t="str">
        <x:f>'Todos os Leads'!C68</x:f>
        <x:v>Oficinas mecânicas</x:v>
      </x:c>
      <x:c r="C68" s="44" t="n">
        <x:f>'Todos os Leads'!AC68</x:f>
        <x:v>33</x:v>
      </x:c>
      <x:c r="D68" s="18" t="str">
        <x:f>'Todos os Leads'!AD68</x:f>
        <x:v>Prioridade D — Baixa</x:v>
      </x:c>
      <x:c r="E68" s="53" t="str"/>
      <x:c r="F68" s="53" t="str">
        <x:v>não contatado</x:v>
      </x:c>
      <x:c r="G68" s="55" t="str"/>
      <x:c r="H68" s="53" t="str"/>
      <x:c r="I68" s="56"/>
      <x:c r="J68" s="54" t="str"/>
    </x:row>
    <x:row r="69">
      <x:c r="A69" s="18" t="str">
        <x:f>'Todos os Leads'!B69</x:f>
        <x:v>Dricar Oficina Mecânica</x:v>
      </x:c>
      <x:c r="B69" s="18" t="str">
        <x:f>'Todos os Leads'!C69</x:f>
        <x:v>Oficinas mecânicas</x:v>
      </x:c>
      <x:c r="C69" s="44" t="n">
        <x:f>'Todos os Leads'!AC69</x:f>
        <x:v>33</x:v>
      </x:c>
      <x:c r="D69" s="18" t="str">
        <x:f>'Todos os Leads'!AD69</x:f>
        <x:v>Prioridade D — Baixa</x:v>
      </x:c>
      <x:c r="E69" s="53" t="str"/>
      <x:c r="F69" s="53" t="str">
        <x:v>não contatado</x:v>
      </x:c>
      <x:c r="G69" s="55" t="str"/>
      <x:c r="H69" s="53" t="str"/>
      <x:c r="I69" s="56"/>
      <x:c r="J69" s="54" t="str"/>
    </x:row>
    <x:row r="70">
      <x:c r="A70" s="18" t="str">
        <x:f>'Todos os Leads'!B70</x:f>
        <x:v>Especivans Oficina Mecânica</x:v>
      </x:c>
      <x:c r="B70" s="18" t="str">
        <x:f>'Todos os Leads'!C70</x:f>
        <x:v>Oficinas mecânicas</x:v>
      </x:c>
      <x:c r="C70" s="44" t="n">
        <x:f>'Todos os Leads'!AC70</x:f>
        <x:v>33</x:v>
      </x:c>
      <x:c r="D70" s="18" t="str">
        <x:f>'Todos os Leads'!AD70</x:f>
        <x:v>Prioridade D — Baixa</x:v>
      </x:c>
      <x:c r="E70" s="53" t="str"/>
      <x:c r="F70" s="53" t="str">
        <x:v>não contatado</x:v>
      </x:c>
      <x:c r="G70" s="55" t="str"/>
      <x:c r="H70" s="53" t="str"/>
      <x:c r="I70" s="56"/>
      <x:c r="J70" s="54" t="str"/>
    </x:row>
    <x:row r="71">
      <x:c r="A71" s="18" t="str">
        <x:f>'Todos os Leads'!B71</x:f>
        <x:v>Interauto</x:v>
      </x:c>
      <x:c r="B71" s="18" t="str">
        <x:f>'Todos os Leads'!C71</x:f>
        <x:v>Oficinas mecânicas</x:v>
      </x:c>
      <x:c r="C71" s="44" t="n">
        <x:f>'Todos os Leads'!AC71</x:f>
        <x:v>33</x:v>
      </x:c>
      <x:c r="D71" s="18" t="str">
        <x:f>'Todos os Leads'!AD71</x:f>
        <x:v>Prioridade D — Baixa</x:v>
      </x:c>
      <x:c r="E71" s="53" t="str"/>
      <x:c r="F71" s="53" t="str">
        <x:v>não contatado</x:v>
      </x:c>
      <x:c r="G71" s="55" t="str"/>
      <x:c r="H71" s="53" t="str"/>
      <x:c r="I71" s="56"/>
      <x:c r="J71" s="54" t="str"/>
    </x:row>
    <x:row r="72">
      <x:c r="A72" s="18" t="str">
        <x:f>'Todos os Leads'!B72</x:f>
        <x:v>Master Car</x:v>
      </x:c>
      <x:c r="B72" s="18" t="str">
        <x:f>'Todos os Leads'!C72</x:f>
        <x:v>Oficinas mecânicas</x:v>
      </x:c>
      <x:c r="C72" s="44" t="n">
        <x:f>'Todos os Leads'!AC72</x:f>
        <x:v>33</x:v>
      </x:c>
      <x:c r="D72" s="18" t="str">
        <x:f>'Todos os Leads'!AD72</x:f>
        <x:v>Prioridade D — Baixa</x:v>
      </x:c>
      <x:c r="E72" s="53" t="str"/>
      <x:c r="F72" s="53" t="str">
        <x:v>não contatado</x:v>
      </x:c>
      <x:c r="G72" s="55" t="str"/>
      <x:c r="H72" s="53" t="str"/>
      <x:c r="I72" s="56"/>
      <x:c r="J72" s="54" t="str"/>
    </x:row>
    <x:row r="73">
      <x:c r="A73" s="18" t="str">
        <x:f>'Todos os Leads'!B73</x:f>
        <x:v>Mecânica Marinho</x:v>
      </x:c>
      <x:c r="B73" s="18" t="str">
        <x:f>'Todos os Leads'!C73</x:f>
        <x:v>Oficinas mecânicas</x:v>
      </x:c>
      <x:c r="C73" s="44" t="n">
        <x:f>'Todos os Leads'!AC73</x:f>
        <x:v>33</x:v>
      </x:c>
      <x:c r="D73" s="18" t="str">
        <x:f>'Todos os Leads'!AD73</x:f>
        <x:v>Prioridade D — Baixa</x:v>
      </x:c>
      <x:c r="E73" s="53" t="str"/>
      <x:c r="F73" s="53" t="str">
        <x:v>não contatado</x:v>
      </x:c>
      <x:c r="G73" s="55" t="str"/>
      <x:c r="H73" s="53" t="str"/>
      <x:c r="I73" s="56"/>
      <x:c r="J73" s="54" t="str"/>
    </x:row>
    <x:row r="74">
      <x:c r="A74" s="18" t="str">
        <x:f>'Todos os Leads'!B74</x:f>
        <x:v>Milano Oficina Mecânica Diesel</x:v>
      </x:c>
      <x:c r="B74" s="18" t="str">
        <x:f>'Todos os Leads'!C74</x:f>
        <x:v>Oficinas mecânicas</x:v>
      </x:c>
      <x:c r="C74" s="44" t="n">
        <x:f>'Todos os Leads'!AC74</x:f>
        <x:v>33</x:v>
      </x:c>
      <x:c r="D74" s="18" t="str">
        <x:f>'Todos os Leads'!AD74</x:f>
        <x:v>Prioridade D — Baixa</x:v>
      </x:c>
      <x:c r="E74" s="53" t="str"/>
      <x:c r="F74" s="53" t="str">
        <x:v>não contatado</x:v>
      </x:c>
      <x:c r="G74" s="55" t="str"/>
      <x:c r="H74" s="53" t="str"/>
      <x:c r="I74" s="56"/>
      <x:c r="J74" s="54" t="str"/>
    </x:row>
    <x:row r="75">
      <x:c r="A75" s="18" t="str">
        <x:f>'Todos os Leads'!B75</x:f>
        <x:v>Mitcar</x:v>
      </x:c>
      <x:c r="B75" s="18" t="str">
        <x:f>'Todos os Leads'!C75</x:f>
        <x:v>Oficinas mecânicas</x:v>
      </x:c>
      <x:c r="C75" s="44" t="n">
        <x:f>'Todos os Leads'!AC75</x:f>
        <x:v>33</x:v>
      </x:c>
      <x:c r="D75" s="18" t="str">
        <x:f>'Todos os Leads'!AD75</x:f>
        <x:v>Prioridade D — Baixa</x:v>
      </x:c>
      <x:c r="E75" s="53" t="str"/>
      <x:c r="F75" s="53" t="str">
        <x:v>não contatado</x:v>
      </x:c>
      <x:c r="G75" s="55" t="str"/>
      <x:c r="H75" s="53" t="str"/>
      <x:c r="I75" s="56"/>
      <x:c r="J75" s="54" t="str"/>
    </x:row>
    <x:row r="76">
      <x:c r="A76" s="18" t="str">
        <x:f>'Todos os Leads'!B76</x:f>
        <x:v>Oficina Mecânica Agrícola Azulinho</x:v>
      </x:c>
      <x:c r="B76" s="18" t="str">
        <x:f>'Todos os Leads'!C76</x:f>
        <x:v>Oficinas mecânicas</x:v>
      </x:c>
      <x:c r="C76" s="44" t="n">
        <x:f>'Todos os Leads'!AC76</x:f>
        <x:v>33</x:v>
      </x:c>
      <x:c r="D76" s="18" t="str">
        <x:f>'Todos os Leads'!AD76</x:f>
        <x:v>Prioridade D — Baixa</x:v>
      </x:c>
      <x:c r="E76" s="53" t="str"/>
      <x:c r="F76" s="53" t="str">
        <x:v>não contatado</x:v>
      </x:c>
      <x:c r="G76" s="55" t="str"/>
      <x:c r="H76" s="53" t="str"/>
      <x:c r="I76" s="56"/>
      <x:c r="J76" s="54" t="str"/>
    </x:row>
    <x:row r="77">
      <x:c r="A77" s="18" t="str">
        <x:f>'Todos os Leads'!B77</x:f>
        <x:v>Oficina Mecânica Alemanha</x:v>
      </x:c>
      <x:c r="B77" s="18" t="str">
        <x:f>'Todos os Leads'!C77</x:f>
        <x:v>Oficinas mecânicas</x:v>
      </x:c>
      <x:c r="C77" s="44" t="n">
        <x:f>'Todos os Leads'!AC77</x:f>
        <x:v>33</x:v>
      </x:c>
      <x:c r="D77" s="18" t="str">
        <x:f>'Todos os Leads'!AD77</x:f>
        <x:v>Prioridade D — Baixa</x:v>
      </x:c>
      <x:c r="E77" s="53" t="str"/>
      <x:c r="F77" s="53" t="str">
        <x:v>não contatado</x:v>
      </x:c>
      <x:c r="G77" s="55" t="str"/>
      <x:c r="H77" s="53" t="str"/>
      <x:c r="I77" s="56"/>
      <x:c r="J77" s="54" t="str"/>
    </x:row>
    <x:row r="78">
      <x:c r="A78" s="18" t="str">
        <x:f>'Todos os Leads'!B78</x:f>
        <x:v>Oficina Mecânica Asa</x:v>
      </x:c>
      <x:c r="B78" s="18" t="str">
        <x:f>'Todos os Leads'!C78</x:f>
        <x:v>Oficinas mecânicas</x:v>
      </x:c>
      <x:c r="C78" s="44" t="n">
        <x:f>'Todos os Leads'!AC78</x:f>
        <x:v>33</x:v>
      </x:c>
      <x:c r="D78" s="18" t="str">
        <x:f>'Todos os Leads'!AD78</x:f>
        <x:v>Prioridade D — Baixa</x:v>
      </x:c>
      <x:c r="E78" s="53" t="str"/>
      <x:c r="F78" s="53" t="str">
        <x:v>não contatado</x:v>
      </x:c>
      <x:c r="G78" s="55" t="str"/>
      <x:c r="H78" s="53" t="str"/>
      <x:c r="I78" s="56"/>
      <x:c r="J78" s="54" t="str"/>
    </x:row>
    <x:row r="79">
      <x:c r="A79" s="18" t="str">
        <x:f>'Todos os Leads'!B79</x:f>
        <x:v>Oficina Mecânica Birigui Diesel</x:v>
      </x:c>
      <x:c r="B79" s="18" t="str">
        <x:f>'Todos os Leads'!C79</x:f>
        <x:v>Oficinas mecânicas</x:v>
      </x:c>
      <x:c r="C79" s="44" t="n">
        <x:f>'Todos os Leads'!AC79</x:f>
        <x:v>33</x:v>
      </x:c>
      <x:c r="D79" s="18" t="str">
        <x:f>'Todos os Leads'!AD79</x:f>
        <x:v>Prioridade D — Baixa</x:v>
      </x:c>
      <x:c r="E79" s="53" t="str"/>
      <x:c r="F79" s="53" t="str">
        <x:v>não contatado</x:v>
      </x:c>
      <x:c r="G79" s="55" t="str"/>
      <x:c r="H79" s="53" t="str"/>
      <x:c r="I79" s="56"/>
      <x:c r="J79" s="54" t="str"/>
    </x:row>
    <x:row r="80">
      <x:c r="A80" s="18" t="str">
        <x:f>'Todos os Leads'!B80</x:f>
        <x:v>Oficina Mecânica Célio E Elvis</x:v>
      </x:c>
      <x:c r="B80" s="18" t="str">
        <x:f>'Todos os Leads'!C80</x:f>
        <x:v>Oficinas mecânicas</x:v>
      </x:c>
      <x:c r="C80" s="44" t="n">
        <x:f>'Todos os Leads'!AC80</x:f>
        <x:v>33</x:v>
      </x:c>
      <x:c r="D80" s="18" t="str">
        <x:f>'Todos os Leads'!AD80</x:f>
        <x:v>Prioridade D — Baixa</x:v>
      </x:c>
      <x:c r="E80" s="53" t="str"/>
      <x:c r="F80" s="53" t="str">
        <x:v>não contatado</x:v>
      </x:c>
      <x:c r="G80" s="55" t="str"/>
      <x:c r="H80" s="53" t="str"/>
      <x:c r="I80" s="56"/>
      <x:c r="J80" s="54" t="str"/>
    </x:row>
    <x:row r="81">
      <x:c r="A81" s="18" t="str">
        <x:f>'Todos os Leads'!B81</x:f>
        <x:v>Oficina Mecânica De Precisão</x:v>
      </x:c>
      <x:c r="B81" s="18" t="str">
        <x:f>'Todos os Leads'!C81</x:f>
        <x:v>Oficinas mecânicas</x:v>
      </x:c>
      <x:c r="C81" s="44" t="n">
        <x:f>'Todos os Leads'!AC81</x:f>
        <x:v>33</x:v>
      </x:c>
      <x:c r="D81" s="18" t="str">
        <x:f>'Todos os Leads'!AD81</x:f>
        <x:v>Prioridade D — Baixa</x:v>
      </x:c>
      <x:c r="E81" s="53" t="str"/>
      <x:c r="F81" s="53" t="str">
        <x:v>não contatado</x:v>
      </x:c>
      <x:c r="G81" s="55" t="str"/>
      <x:c r="H81" s="53" t="str"/>
      <x:c r="I81" s="56"/>
      <x:c r="J81" s="54" t="str"/>
    </x:row>
    <x:row r="82">
      <x:c r="A82" s="18" t="str">
        <x:f>'Todos os Leads'!B82</x:f>
        <x:v>Oficina Mecânica Do Mineiro</x:v>
      </x:c>
      <x:c r="B82" s="18" t="str">
        <x:f>'Todos os Leads'!C82</x:f>
        <x:v>Oficinas mecânicas</x:v>
      </x:c>
      <x:c r="C82" s="44" t="n">
        <x:f>'Todos os Leads'!AC82</x:f>
        <x:v>33</x:v>
      </x:c>
      <x:c r="D82" s="18" t="str">
        <x:f>'Todos os Leads'!AD82</x:f>
        <x:v>Prioridade D — Baixa</x:v>
      </x:c>
      <x:c r="E82" s="53" t="str"/>
      <x:c r="F82" s="53" t="str">
        <x:v>não contatado</x:v>
      </x:c>
      <x:c r="G82" s="55" t="str"/>
      <x:c r="H82" s="53" t="str"/>
      <x:c r="I82" s="56"/>
      <x:c r="J82" s="54" t="str"/>
    </x:row>
    <x:row r="83">
      <x:c r="A83" s="18" t="str">
        <x:f>'Todos os Leads'!B83</x:f>
        <x:v>Oficina Mecânica El Shadai</x:v>
      </x:c>
      <x:c r="B83" s="18" t="str">
        <x:f>'Todos os Leads'!C83</x:f>
        <x:v>Oficinas mecânicas</x:v>
      </x:c>
      <x:c r="C83" s="44" t="n">
        <x:f>'Todos os Leads'!AC83</x:f>
        <x:v>33</x:v>
      </x:c>
      <x:c r="D83" s="18" t="str">
        <x:f>'Todos os Leads'!AD83</x:f>
        <x:v>Prioridade D — Baixa</x:v>
      </x:c>
      <x:c r="E83" s="53" t="str"/>
      <x:c r="F83" s="53" t="str">
        <x:v>não contatado</x:v>
      </x:c>
      <x:c r="G83" s="55" t="str"/>
      <x:c r="H83" s="53" t="str"/>
      <x:c r="I83" s="56"/>
      <x:c r="J83" s="54" t="str"/>
    </x:row>
    <x:row r="84">
      <x:c r="A84" s="18" t="str">
        <x:f>'Todos os Leads'!B84</x:f>
        <x:v>Oficina Mecânica Galdino</x:v>
      </x:c>
      <x:c r="B84" s="18" t="str">
        <x:f>'Todos os Leads'!C84</x:f>
        <x:v>Oficinas mecânicas</x:v>
      </x:c>
      <x:c r="C84" s="44" t="n">
        <x:f>'Todos os Leads'!AC84</x:f>
        <x:v>33</x:v>
      </x:c>
      <x:c r="D84" s="18" t="str">
        <x:f>'Todos os Leads'!AD84</x:f>
        <x:v>Prioridade D — Baixa</x:v>
      </x:c>
      <x:c r="E84" s="53" t="str"/>
      <x:c r="F84" s="53" t="str">
        <x:v>não contatado</x:v>
      </x:c>
      <x:c r="G84" s="55" t="str"/>
      <x:c r="H84" s="53" t="str"/>
      <x:c r="I84" s="56"/>
      <x:c r="J84" s="54" t="str"/>
    </x:row>
    <x:row r="85">
      <x:c r="A85" s="18" t="str">
        <x:f>'Todos os Leads'!B85</x:f>
        <x:v>Aldebaran Serralheria</x:v>
      </x:c>
      <x:c r="B85" s="18" t="str">
        <x:f>'Todos os Leads'!C85</x:f>
        <x:v>Serralherias</x:v>
      </x:c>
      <x:c r="C85" s="44" t="n">
        <x:f>'Todos os Leads'!AC85</x:f>
        <x:v>33</x:v>
      </x:c>
      <x:c r="D85" s="18" t="str">
        <x:f>'Todos os Leads'!AD85</x:f>
        <x:v>Prioridade D — Baixa</x:v>
      </x:c>
      <x:c r="E85" s="53" t="str"/>
      <x:c r="F85" s="53" t="str">
        <x:v>não contatado</x:v>
      </x:c>
      <x:c r="G85" s="55" t="str"/>
      <x:c r="H85" s="53" t="str"/>
      <x:c r="I85" s="56"/>
      <x:c r="J85" s="54" t="str"/>
    </x:row>
    <x:row r="86">
      <x:c r="A86" s="18" t="str">
        <x:f>'Todos os Leads'!B86</x:f>
        <x:v>Alfa Serralheria</x:v>
      </x:c>
      <x:c r="B86" s="18" t="str">
        <x:f>'Todos os Leads'!C86</x:f>
        <x:v>Serralherias</x:v>
      </x:c>
      <x:c r="C86" s="44" t="n">
        <x:f>'Todos os Leads'!AC86</x:f>
        <x:v>33</x:v>
      </x:c>
      <x:c r="D86" s="18" t="str">
        <x:f>'Todos os Leads'!AD86</x:f>
        <x:v>Prioridade D — Baixa</x:v>
      </x:c>
      <x:c r="E86" s="53" t="str"/>
      <x:c r="F86" s="53" t="str">
        <x:v>não contatado</x:v>
      </x:c>
      <x:c r="G86" s="55" t="str"/>
      <x:c r="H86" s="53" t="str"/>
      <x:c r="I86" s="56"/>
      <x:c r="J86" s="54" t="str"/>
    </x:row>
    <x:row r="87">
      <x:c r="A87" s="18" t="str">
        <x:f>'Todos os Leads'!B87</x:f>
        <x:v>Ferro Forte Serralheria</x:v>
      </x:c>
      <x:c r="B87" s="18" t="str">
        <x:f>'Todos os Leads'!C87</x:f>
        <x:v>Serralherias</x:v>
      </x:c>
      <x:c r="C87" s="44" t="n">
        <x:f>'Todos os Leads'!AC87</x:f>
        <x:v>33</x:v>
      </x:c>
      <x:c r="D87" s="18" t="str">
        <x:f>'Todos os Leads'!AD87</x:f>
        <x:v>Prioridade D — Baixa</x:v>
      </x:c>
      <x:c r="E87" s="53" t="str"/>
      <x:c r="F87" s="53" t="str">
        <x:v>não contatado</x:v>
      </x:c>
      <x:c r="G87" s="55" t="str"/>
      <x:c r="H87" s="53" t="str"/>
      <x:c r="I87" s="56"/>
      <x:c r="J87" s="54" t="str"/>
    </x:row>
    <x:row r="88">
      <x:c r="A88" s="18" t="str">
        <x:f>'Todos os Leads'!B88</x:f>
        <x:v>Londriserra</x:v>
      </x:c>
      <x:c r="B88" s="18" t="str">
        <x:f>'Todos os Leads'!C88</x:f>
        <x:v>Serralherias</x:v>
      </x:c>
      <x:c r="C88" s="44" t="n">
        <x:f>'Todos os Leads'!AC88</x:f>
        <x:v>33</x:v>
      </x:c>
      <x:c r="D88" s="18" t="str">
        <x:f>'Todos os Leads'!AD88</x:f>
        <x:v>Prioridade D — Baixa</x:v>
      </x:c>
      <x:c r="E88" s="53" t="str"/>
      <x:c r="F88" s="53" t="str">
        <x:v>não contatado</x:v>
      </x:c>
      <x:c r="G88" s="55" t="str"/>
      <x:c r="H88" s="53" t="str"/>
      <x:c r="I88" s="56"/>
      <x:c r="J88" s="54" t="str"/>
    </x:row>
    <x:row r="89">
      <x:c r="A89" s="18" t="str">
        <x:f>'Todos os Leads'!B89</x:f>
        <x:v>M Guandeline Serralheria</x:v>
      </x:c>
      <x:c r="B89" s="18" t="str">
        <x:f>'Todos os Leads'!C89</x:f>
        <x:v>Serralherias</x:v>
      </x:c>
      <x:c r="C89" s="44" t="n">
        <x:f>'Todos os Leads'!AC89</x:f>
        <x:v>33</x:v>
      </x:c>
      <x:c r="D89" s="18" t="str">
        <x:f>'Todos os Leads'!AD89</x:f>
        <x:v>Prioridade D — Baixa</x:v>
      </x:c>
      <x:c r="E89" s="53" t="str"/>
      <x:c r="F89" s="53" t="str">
        <x:v>não contatado</x:v>
      </x:c>
      <x:c r="G89" s="55" t="str"/>
      <x:c r="H89" s="53" t="str"/>
      <x:c r="I89" s="56"/>
      <x:c r="J89" s="54" t="str"/>
    </x:row>
    <x:row r="90">
      <x:c r="A90" s="18" t="str">
        <x:f>'Todos os Leads'!B90</x:f>
        <x:v>Serralheria Abreportas</x:v>
      </x:c>
      <x:c r="B90" s="18" t="str">
        <x:f>'Todos os Leads'!C90</x:f>
        <x:v>Serralherias</x:v>
      </x:c>
      <x:c r="C90" s="44" t="n">
        <x:f>'Todos os Leads'!AC90</x:f>
        <x:v>33</x:v>
      </x:c>
      <x:c r="D90" s="18" t="str">
        <x:f>'Todos os Leads'!AD90</x:f>
        <x:v>Prioridade D — Baixa</x:v>
      </x:c>
      <x:c r="E90" s="53" t="str"/>
      <x:c r="F90" s="53" t="str">
        <x:v>não contatado</x:v>
      </x:c>
      <x:c r="G90" s="55" t="str"/>
      <x:c r="H90" s="53" t="str"/>
      <x:c r="I90" s="56"/>
      <x:c r="J90" s="54" t="str"/>
    </x:row>
    <x:row r="91">
      <x:c r="A91" s="18" t="str">
        <x:f>'Todos os Leads'!B91</x:f>
        <x:v>Serralheria América</x:v>
      </x:c>
      <x:c r="B91" s="18" t="str">
        <x:f>'Todos os Leads'!C91</x:f>
        <x:v>Serralherias</x:v>
      </x:c>
      <x:c r="C91" s="44" t="n">
        <x:f>'Todos os Leads'!AC91</x:f>
        <x:v>33</x:v>
      </x:c>
      <x:c r="D91" s="18" t="str">
        <x:f>'Todos os Leads'!AD91</x:f>
        <x:v>Prioridade D — Baixa</x:v>
      </x:c>
      <x:c r="E91" s="53" t="str"/>
      <x:c r="F91" s="53" t="str">
        <x:v>não contatado</x:v>
      </x:c>
      <x:c r="G91" s="55" t="str"/>
      <x:c r="H91" s="53" t="str"/>
      <x:c r="I91" s="56"/>
      <x:c r="J91" s="54" t="str"/>
    </x:row>
    <x:row r="92">
      <x:c r="A92" s="18" t="str">
        <x:f>'Todos os Leads'!B92</x:f>
        <x:v>Serralheria Antares</x:v>
      </x:c>
      <x:c r="B92" s="18" t="str">
        <x:f>'Todos os Leads'!C92</x:f>
        <x:v>Serralherias</x:v>
      </x:c>
      <x:c r="C92" s="44" t="n">
        <x:f>'Todos os Leads'!AC92</x:f>
        <x:v>33</x:v>
      </x:c>
      <x:c r="D92" s="18" t="str">
        <x:f>'Todos os Leads'!AD92</x:f>
        <x:v>Prioridade D — Baixa</x:v>
      </x:c>
      <x:c r="E92" s="53" t="str"/>
      <x:c r="F92" s="53" t="str">
        <x:v>não contatado</x:v>
      </x:c>
      <x:c r="G92" s="55" t="str"/>
      <x:c r="H92" s="53" t="str"/>
      <x:c r="I92" s="56"/>
      <x:c r="J92" s="54" t="str"/>
    </x:row>
    <x:row r="93">
      <x:c r="A93" s="18" t="str">
        <x:f>'Todos os Leads'!B93</x:f>
        <x:v>Serralheria Arte &amp; Ferro</x:v>
      </x:c>
      <x:c r="B93" s="18" t="str">
        <x:f>'Todos os Leads'!C93</x:f>
        <x:v>Serralherias</x:v>
      </x:c>
      <x:c r="C93" s="44" t="n">
        <x:f>'Todos os Leads'!AC93</x:f>
        <x:v>33</x:v>
      </x:c>
      <x:c r="D93" s="18" t="str">
        <x:f>'Todos os Leads'!AD93</x:f>
        <x:v>Prioridade D — Baixa</x:v>
      </x:c>
      <x:c r="E93" s="53" t="str"/>
      <x:c r="F93" s="53" t="str">
        <x:v>não contatado</x:v>
      </x:c>
      <x:c r="G93" s="55" t="str"/>
      <x:c r="H93" s="53" t="str"/>
      <x:c r="I93" s="56"/>
      <x:c r="J93" s="54" t="str"/>
    </x:row>
    <x:row r="94">
      <x:c r="A94" s="18" t="str">
        <x:f>'Todos os Leads'!B94</x:f>
        <x:v>Serralheria Arte Metal</x:v>
      </x:c>
      <x:c r="B94" s="18" t="str">
        <x:f>'Todos os Leads'!C94</x:f>
        <x:v>Serralherias</x:v>
      </x:c>
      <x:c r="C94" s="44" t="n">
        <x:f>'Todos os Leads'!AC94</x:f>
        <x:v>33</x:v>
      </x:c>
      <x:c r="D94" s="18" t="str">
        <x:f>'Todos os Leads'!AD94</x:f>
        <x:v>Prioridade D — Baixa</x:v>
      </x:c>
      <x:c r="E94" s="53" t="str"/>
      <x:c r="F94" s="53" t="str">
        <x:v>não contatado</x:v>
      </x:c>
      <x:c r="G94" s="55" t="str"/>
      <x:c r="H94" s="53" t="str"/>
      <x:c r="I94" s="56"/>
      <x:c r="J94" s="54" t="str"/>
    </x:row>
    <x:row r="95">
      <x:c r="A95" s="18" t="str">
        <x:f>'Todos os Leads'!B95</x:f>
        <x:v>Serralheria Artística</x:v>
      </x:c>
      <x:c r="B95" s="18" t="str">
        <x:f>'Todos os Leads'!C95</x:f>
        <x:v>Serralherias</x:v>
      </x:c>
      <x:c r="C95" s="44" t="n">
        <x:f>'Todos os Leads'!AC95</x:f>
        <x:v>33</x:v>
      </x:c>
      <x:c r="D95" s="18" t="str">
        <x:f>'Todos os Leads'!AD95</x:f>
        <x:v>Prioridade D — Baixa</x:v>
      </x:c>
      <x:c r="E95" s="53" t="str"/>
      <x:c r="F95" s="53" t="str">
        <x:v>não contatado</x:v>
      </x:c>
      <x:c r="G95" s="55" t="str"/>
      <x:c r="H95" s="53" t="str"/>
      <x:c r="I95" s="56"/>
      <x:c r="J95" s="54" t="str"/>
    </x:row>
    <x:row r="96">
      <x:c r="A96" s="18" t="str">
        <x:f>'Todos os Leads'!B96</x:f>
        <x:v>Serralheria Brasília</x:v>
      </x:c>
      <x:c r="B96" s="18" t="str">
        <x:f>'Todos os Leads'!C96</x:f>
        <x:v>Serralherias</x:v>
      </x:c>
      <x:c r="C96" s="44" t="n">
        <x:f>'Todos os Leads'!AC96</x:f>
        <x:v>33</x:v>
      </x:c>
      <x:c r="D96" s="18" t="str">
        <x:f>'Todos os Leads'!AD96</x:f>
        <x:v>Prioridade D — Baixa</x:v>
      </x:c>
      <x:c r="E96" s="53" t="str"/>
      <x:c r="F96" s="53" t="str">
        <x:v>não contatado</x:v>
      </x:c>
      <x:c r="G96" s="55" t="str"/>
      <x:c r="H96" s="53" t="str"/>
      <x:c r="I96" s="56"/>
      <x:c r="J96" s="54" t="str"/>
    </x:row>
    <x:row r="97">
      <x:c r="A97" s="18" t="str">
        <x:f>'Todos os Leads'!B97</x:f>
        <x:v>Serralheria Campos</x:v>
      </x:c>
      <x:c r="B97" s="18" t="str">
        <x:f>'Todos os Leads'!C97</x:f>
        <x:v>Serralherias</x:v>
      </x:c>
      <x:c r="C97" s="44" t="n">
        <x:f>'Todos os Leads'!AC97</x:f>
        <x:v>33</x:v>
      </x:c>
      <x:c r="D97" s="18" t="str">
        <x:f>'Todos os Leads'!AD97</x:f>
        <x:v>Prioridade D — Baixa</x:v>
      </x:c>
      <x:c r="E97" s="53" t="str"/>
      <x:c r="F97" s="53" t="str">
        <x:v>não contatado</x:v>
      </x:c>
      <x:c r="G97" s="55" t="str"/>
      <x:c r="H97" s="53" t="str"/>
      <x:c r="I97" s="56"/>
      <x:c r="J97" s="54" t="str"/>
    </x:row>
    <x:row r="98">
      <x:c r="A98" s="18" t="str">
        <x:f>'Todos os Leads'!B98</x:f>
        <x:v>Serralheria Carrara</x:v>
      </x:c>
      <x:c r="B98" s="18" t="str">
        <x:f>'Todos os Leads'!C98</x:f>
        <x:v>Serralherias</x:v>
      </x:c>
      <x:c r="C98" s="44" t="n">
        <x:f>'Todos os Leads'!AC98</x:f>
        <x:v>33</x:v>
      </x:c>
      <x:c r="D98" s="18" t="str">
        <x:f>'Todos os Leads'!AD98</x:f>
        <x:v>Prioridade D — Baixa</x:v>
      </x:c>
      <x:c r="E98" s="53" t="str"/>
      <x:c r="F98" s="53" t="str">
        <x:v>não contatado</x:v>
      </x:c>
      <x:c r="G98" s="55" t="str"/>
      <x:c r="H98" s="53" t="str"/>
      <x:c r="I98" s="56"/>
      <x:c r="J98" s="54" t="str"/>
    </x:row>
    <x:row r="99">
      <x:c r="A99" s="18" t="str">
        <x:f>'Todos os Leads'!B99</x:f>
        <x:v>Serralheria Carvalho</x:v>
      </x:c>
      <x:c r="B99" s="18" t="str">
        <x:f>'Todos os Leads'!C99</x:f>
        <x:v>Serralherias</x:v>
      </x:c>
      <x:c r="C99" s="44" t="n">
        <x:f>'Todos os Leads'!AC99</x:f>
        <x:v>33</x:v>
      </x:c>
      <x:c r="D99" s="18" t="str">
        <x:f>'Todos os Leads'!AD99</x:f>
        <x:v>Prioridade D — Baixa</x:v>
      </x:c>
      <x:c r="E99" s="53" t="str"/>
      <x:c r="F99" s="53" t="str">
        <x:v>não contatado</x:v>
      </x:c>
      <x:c r="G99" s="55" t="str"/>
      <x:c r="H99" s="53" t="str"/>
      <x:c r="I99" s="56"/>
      <x:c r="J99" s="54" t="str"/>
    </x:row>
    <x:row r="100">
      <x:c r="A100" s="18" t="str">
        <x:f>'Todos os Leads'!B100</x:f>
        <x:v>Serralheria Demelon</x:v>
      </x:c>
      <x:c r="B100" s="18" t="str">
        <x:f>'Todos os Leads'!C100</x:f>
        <x:v>Serralherias</x:v>
      </x:c>
      <x:c r="C100" s="44" t="n">
        <x:f>'Todos os Leads'!AC100</x:f>
        <x:v>33</x:v>
      </x:c>
      <x:c r="D100" s="18" t="str">
        <x:f>'Todos os Leads'!AD100</x:f>
        <x:v>Prioridade D — Baixa</x:v>
      </x:c>
      <x:c r="E100" s="53" t="str"/>
      <x:c r="F100" s="53" t="str">
        <x:v>não contatado</x:v>
      </x:c>
      <x:c r="G100" s="55" t="str"/>
      <x:c r="H100" s="53" t="str"/>
      <x:c r="I100" s="56"/>
      <x:c r="J100" s="54" t="str"/>
    </x:row>
    <x:row r="101">
      <x:c r="A101" s="18" t="str">
        <x:f>'Todos os Leads'!B101</x:f>
        <x:v>Serralheria Destac</x:v>
      </x:c>
      <x:c r="B101" s="18" t="str">
        <x:f>'Todos os Leads'!C101</x:f>
        <x:v>Serralherias</x:v>
      </x:c>
      <x:c r="C101" s="44" t="n">
        <x:f>'Todos os Leads'!AC101</x:f>
        <x:v>33</x:v>
      </x:c>
      <x:c r="D101" s="18" t="str">
        <x:f>'Todos os Leads'!AD101</x:f>
        <x:v>Prioridade D — Baixa</x:v>
      </x:c>
      <x:c r="E101" s="53" t="str"/>
      <x:c r="F101" s="53" t="str">
        <x:v>não contatado</x:v>
      </x:c>
      <x:c r="G101" s="55" t="str"/>
      <x:c r="H101" s="53" t="str"/>
      <x:c r="I101" s="56"/>
      <x:c r="J101" s="54" t="str"/>
    </x:row>
    <x:row r="102">
      <x:c r="A102" s="18" t="str">
        <x:f>'Todos os Leads'!B102</x:f>
        <x:v>Serralheria Do Claudinei</x:v>
      </x:c>
      <x:c r="B102" s="18" t="str">
        <x:f>'Todos os Leads'!C102</x:f>
        <x:v>Serralherias</x:v>
      </x:c>
      <x:c r="C102" s="44" t="n">
        <x:f>'Todos os Leads'!AC102</x:f>
        <x:v>33</x:v>
      </x:c>
      <x:c r="D102" s="18" t="str">
        <x:f>'Todos os Leads'!AD102</x:f>
        <x:v>Prioridade D — Baixa</x:v>
      </x:c>
      <x:c r="E102" s="53" t="str"/>
      <x:c r="F102" s="53" t="str">
        <x:v>não contatado</x:v>
      </x:c>
      <x:c r="G102" s="55" t="str"/>
      <x:c r="H102" s="53" t="str"/>
      <x:c r="I102" s="56"/>
      <x:c r="J102" s="54" t="str"/>
    </x:row>
    <x:row r="103">
      <x:c r="A103" s="18" t="str">
        <x:f>'Todos os Leads'!B103</x:f>
        <x:v>Serralheria e Vidraçaria Portec.</x:v>
      </x:c>
      <x:c r="B103" s="18" t="str">
        <x:f>'Todos os Leads'!C103</x:f>
        <x:v>Serralherias</x:v>
      </x:c>
      <x:c r="C103" s="44" t="n">
        <x:f>'Todos os Leads'!AC103</x:f>
        <x:v>33</x:v>
      </x:c>
      <x:c r="D103" s="18" t="str">
        <x:f>'Todos os Leads'!AD103</x:f>
        <x:v>Prioridade D — Baixa</x:v>
      </x:c>
      <x:c r="E103" s="53" t="str"/>
      <x:c r="F103" s="53" t="str">
        <x:v>não contatado</x:v>
      </x:c>
      <x:c r="G103" s="55" t="str"/>
      <x:c r="H103" s="53" t="str"/>
      <x:c r="I103" s="56"/>
      <x:c r="J103" s="54" t="str"/>
    </x:row>
    <x:row r="104">
      <x:c r="A104" s="18" t="str">
        <x:f>'Todos os Leads'!B104</x:f>
        <x:v>Serrralheria Alexandre</x:v>
      </x:c>
      <x:c r="B104" s="18" t="str">
        <x:f>'Todos os Leads'!C104</x:f>
        <x:v>Serralherias</x:v>
      </x:c>
      <x:c r="C104" s="44" t="n">
        <x:f>'Todos os Leads'!AC104</x:f>
        <x:v>33</x:v>
      </x:c>
      <x:c r="D104" s="18" t="str">
        <x:f>'Todos os Leads'!AD104</x:f>
        <x:v>Prioridade D — Baixa</x:v>
      </x:c>
      <x:c r="E104" s="53" t="str"/>
      <x:c r="F104" s="53" t="str">
        <x:v>não contatado</x:v>
      </x:c>
      <x:c r="G104" s="55" t="str"/>
      <x:c r="H104" s="53" t="str"/>
      <x:c r="I104" s="56"/>
      <x:c r="J104" s="54" t="str"/>
    </x:row>
  </x:sheetData>
  <x:conditionalFormatting sqref="F5:F104">
    <x:cfRule type="containsText" dxfId="5" priority="1" operator="containsText" text="interessado"/>
    <x:cfRule type="containsText" dxfId="6" priority="2" operator="containsText" text="fechado"/>
    <x:cfRule type="containsText" dxfId="7" priority="3" operator="containsText" text="perdido"/>
  </x:conditionalFormatting>
  <x:dataValidations count="1">
    <x:dataValidation type="list" sqref="F5:F104">
      <x:formula1>"não contatado,contatado,interessado,reunião,proposta enviada,fechado,perdido"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7a199bac80419b"/>
  </x:tableParts>
</x:worksheet>
</file>